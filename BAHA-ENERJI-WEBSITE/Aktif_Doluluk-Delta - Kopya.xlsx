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520C8B45-7FDD-41F0-9EA1-8FBBD354E849}" xr6:coauthVersionLast="47" xr6:coauthVersionMax="47" xr10:uidLastSave="{00000000-0000-0000-0000-000000000000}"/>
  <bookViews>
    <workbookView xWindow="-90" yWindow="0" windowWidth="9780" windowHeight="1017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68" i="3" l="1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D57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<sst xmlns="http://schemas.openxmlformats.org/spreadsheetml/2006/main" count="5891" uniqueCount="116">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</sst>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7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11"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30.456044328705" createdVersion="8" refreshedVersion="8" minRefreshableVersion="3" recordCount="1935" xr:uid="{5419E858-7A51-42ED-81B5-500D7A20F184}">
  <cacheSource type="worksheet">
    <worksheetSource ref="A1:D1936" sheet="Aktif Doluluk"/>
  </cacheSource>
  <cacheFields count="4">
    <cacheField name="Tarih" numFmtId="0">
      <sharedItems containsSemiMixedTypes="0" containsNonDate="0" containsDate="1" containsString="0" minDate="2026-06-24T00:00:00" maxDate="2026-07-25T00:00:00" count="22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35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05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66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604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101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46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74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84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64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36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81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95"/>
  </r>
  <r>
    <x v="21"/>
    <s v="Kuzey Ege"/>
    <x v="37"/>
    <n v="62.090898577541346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35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65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47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64"/>
  </r>
  <r>
    <x v="21"/>
    <s v="Batı Karadeniz"/>
    <x v="84"/>
    <n v="56.050955414012741"/>
  </r>
  <r>
    <x v="21"/>
    <s v="Sakarya"/>
    <x v="85"/>
    <n v="33.2743988684582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E6E6D5-B77B-45DF-8F89-BB7B8E2E53B1}" name="PivotTable1" cacheId="0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X95" firstHeaderRow="1" firstDataRow="2" firstDataCol="1"/>
  <pivotFields count="4">
    <pivotField axis="axisCol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colItems>
  <dataFields count="1">
    <dataField name="Ortalama Aktif Doluluk (%)" fld="3" subtotal="average" baseField="0" baseItem="0"/>
  </dataFields>
  <formats count="11"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Col="1" outline="0" fieldPosition="0"/>
    </format>
    <format dxfId="3">
      <pivotArea type="origin" dataOnly="0" labelOnly="1" outline="0" fieldPosition="0"/>
    </format>
    <format dxfId="2">
      <pivotArea field="0" type="button" dataOnly="0" labelOnly="1" outline="0" axis="axisCol" fieldPosition="0"/>
    </format>
    <format dxfId="1">
      <pivotArea type="topRight" dataOnly="0" labelOnly="1" outline="0" fieldPosition="0"/>
    </format>
    <format dxfId="0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3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36"/>
  <sheetViews>
    <sheetView topLeftCell="A1890" zoomScale="80" zoomScaleNormal="80" workbookViewId="0">
      <selection activeCell="D1911" sqref="D1911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  <row r="1759" spans="1:4" x14ac:dyDescent="0.35">
      <c r="A1759" s="82">
        <v>46226</v>
      </c>
      <c r="B1759" s="81" t="s">
        <v>4</v>
      </c>
      <c r="C1759" s="81" t="s">
        <v>5</v>
      </c>
      <c r="D1759" s="83">
        <v>90.956850177406437</v>
      </c>
    </row>
    <row r="1760" spans="1:4" x14ac:dyDescent="0.35">
      <c r="A1760" s="82">
        <v>46226</v>
      </c>
      <c r="B1760" s="81" t="s">
        <v>4</v>
      </c>
      <c r="C1760" s="81" t="s">
        <v>113</v>
      </c>
      <c r="D1760" s="83">
        <v>78.2780410742496</v>
      </c>
    </row>
    <row r="1761" spans="1:4" x14ac:dyDescent="0.35">
      <c r="A1761" s="82">
        <v>46226</v>
      </c>
      <c r="B1761" s="81" t="s">
        <v>4</v>
      </c>
      <c r="C1761" s="81" t="s">
        <v>6</v>
      </c>
      <c r="D1761" s="83">
        <v>94.764203490531003</v>
      </c>
    </row>
    <row r="1762" spans="1:4" x14ac:dyDescent="0.35">
      <c r="A1762" s="82">
        <v>46226</v>
      </c>
      <c r="B1762" s="81" t="s">
        <v>7</v>
      </c>
      <c r="C1762" s="81" t="s">
        <v>8</v>
      </c>
      <c r="D1762" s="83">
        <v>89.419846907869371</v>
      </c>
    </row>
    <row r="1763" spans="1:4" x14ac:dyDescent="0.35">
      <c r="A1763" s="82">
        <v>46226</v>
      </c>
      <c r="B1763" s="81" t="s">
        <v>7</v>
      </c>
      <c r="C1763" s="81" t="s">
        <v>9</v>
      </c>
      <c r="D1763" s="83">
        <v>85.329670329670336</v>
      </c>
    </row>
    <row r="1764" spans="1:4" x14ac:dyDescent="0.35">
      <c r="A1764" s="82">
        <v>46226</v>
      </c>
      <c r="B1764" s="81" t="s">
        <v>7</v>
      </c>
      <c r="C1764" s="81" t="s">
        <v>10</v>
      </c>
      <c r="D1764" s="83">
        <v>94.282291077312209</v>
      </c>
    </row>
    <row r="1765" spans="1:4" x14ac:dyDescent="0.35">
      <c r="A1765" s="82">
        <v>46226</v>
      </c>
      <c r="B1765" s="81" t="s">
        <v>7</v>
      </c>
      <c r="C1765" s="81" t="s">
        <v>11</v>
      </c>
      <c r="D1765" s="83">
        <v>49.241087186727853</v>
      </c>
    </row>
    <row r="1766" spans="1:4" x14ac:dyDescent="0.35">
      <c r="A1766" s="82">
        <v>46226</v>
      </c>
      <c r="B1766" s="81" t="s">
        <v>7</v>
      </c>
      <c r="C1766" s="81" t="s">
        <v>12</v>
      </c>
      <c r="D1766" s="83">
        <v>65.271044513001328</v>
      </c>
    </row>
    <row r="1767" spans="1:4" x14ac:dyDescent="0.35">
      <c r="A1767" s="82">
        <v>46226</v>
      </c>
      <c r="B1767" s="81" t="s">
        <v>7</v>
      </c>
      <c r="C1767" s="81" t="s">
        <v>13</v>
      </c>
      <c r="D1767" s="83">
        <v>35.732430143945805</v>
      </c>
    </row>
    <row r="1768" spans="1:4" x14ac:dyDescent="0.35">
      <c r="A1768" s="82">
        <v>46226</v>
      </c>
      <c r="B1768" s="81" t="s">
        <v>7</v>
      </c>
      <c r="C1768" s="81" t="s">
        <v>14</v>
      </c>
      <c r="D1768" s="83">
        <v>73.015873015873012</v>
      </c>
    </row>
    <row r="1769" spans="1:4" x14ac:dyDescent="0.35">
      <c r="A1769" s="82">
        <v>46226</v>
      </c>
      <c r="B1769" s="81" t="s">
        <v>7</v>
      </c>
      <c r="C1769" s="81" t="s">
        <v>15</v>
      </c>
      <c r="D1769" s="83">
        <v>93.790163934426232</v>
      </c>
    </row>
    <row r="1770" spans="1:4" x14ac:dyDescent="0.35">
      <c r="A1770" s="82">
        <v>46226</v>
      </c>
      <c r="B1770" s="81" t="s">
        <v>7</v>
      </c>
      <c r="C1770" s="81" t="s">
        <v>16</v>
      </c>
      <c r="D1770" s="83">
        <v>51.902834008097166</v>
      </c>
    </row>
    <row r="1771" spans="1:4" x14ac:dyDescent="0.35">
      <c r="A1771" s="82">
        <v>46226</v>
      </c>
      <c r="B1771" s="81" t="s">
        <v>17</v>
      </c>
      <c r="C1771" s="81" t="s">
        <v>18</v>
      </c>
      <c r="D1771" s="83">
        <v>72.099507927829421</v>
      </c>
    </row>
    <row r="1772" spans="1:4" x14ac:dyDescent="0.35">
      <c r="A1772" s="82">
        <v>46226</v>
      </c>
      <c r="B1772" s="81" t="s">
        <v>17</v>
      </c>
      <c r="C1772" s="81" t="s">
        <v>19</v>
      </c>
      <c r="D1772" s="83">
        <v>91.208524226016934</v>
      </c>
    </row>
    <row r="1773" spans="1:4" x14ac:dyDescent="0.35">
      <c r="A1773" s="82">
        <v>46226</v>
      </c>
      <c r="B1773" s="81" t="s">
        <v>17</v>
      </c>
      <c r="C1773" s="81" t="s">
        <v>20</v>
      </c>
      <c r="D1773" s="83">
        <v>75.707982350581631</v>
      </c>
    </row>
    <row r="1774" spans="1:4" x14ac:dyDescent="0.35">
      <c r="A1774" s="82">
        <v>46226</v>
      </c>
      <c r="B1774" s="81" t="s">
        <v>17</v>
      </c>
      <c r="C1774" s="81" t="s">
        <v>21</v>
      </c>
      <c r="D1774" s="83">
        <v>82.22309556559901</v>
      </c>
    </row>
    <row r="1775" spans="1:4" x14ac:dyDescent="0.35">
      <c r="A1775" s="82">
        <v>46226</v>
      </c>
      <c r="B1775" s="81" t="s">
        <v>17</v>
      </c>
      <c r="C1775" s="81" t="s">
        <v>22</v>
      </c>
      <c r="D1775" s="83">
        <v>74.648588132852339</v>
      </c>
    </row>
    <row r="1776" spans="1:4" x14ac:dyDescent="0.35">
      <c r="A1776" s="82">
        <v>46226</v>
      </c>
      <c r="B1776" s="81" t="s">
        <v>17</v>
      </c>
      <c r="C1776" s="81" t="s">
        <v>23</v>
      </c>
      <c r="D1776" s="83">
        <v>91.271523178807954</v>
      </c>
    </row>
    <row r="1777" spans="1:4" x14ac:dyDescent="0.35">
      <c r="A1777" s="82">
        <v>46226</v>
      </c>
      <c r="B1777" s="81" t="s">
        <v>17</v>
      </c>
      <c r="C1777" s="81" t="s">
        <v>24</v>
      </c>
      <c r="D1777" s="83">
        <v>56.606606606606604</v>
      </c>
    </row>
    <row r="1778" spans="1:4" x14ac:dyDescent="0.35">
      <c r="A1778" s="82">
        <v>46226</v>
      </c>
      <c r="B1778" s="81" t="s">
        <v>17</v>
      </c>
      <c r="C1778" s="81" t="s">
        <v>25</v>
      </c>
      <c r="D1778" s="83">
        <v>87.727554179566567</v>
      </c>
    </row>
    <row r="1779" spans="1:4" x14ac:dyDescent="0.35">
      <c r="A1779" s="82">
        <v>46226</v>
      </c>
      <c r="B1779" s="81" t="s">
        <v>17</v>
      </c>
      <c r="C1779" s="81" t="s">
        <v>26</v>
      </c>
      <c r="D1779" s="83">
        <v>69.362682364985929</v>
      </c>
    </row>
    <row r="1780" spans="1:4" x14ac:dyDescent="0.35">
      <c r="A1780" s="82">
        <v>46226</v>
      </c>
      <c r="B1780" s="81" t="s">
        <v>27</v>
      </c>
      <c r="C1780" s="81" t="s">
        <v>28</v>
      </c>
      <c r="D1780" s="83">
        <v>93.680646981380477</v>
      </c>
    </row>
    <row r="1781" spans="1:4" x14ac:dyDescent="0.35">
      <c r="A1781" s="82">
        <v>46226</v>
      </c>
      <c r="B1781" s="81" t="s">
        <v>27</v>
      </c>
      <c r="C1781" s="81" t="s">
        <v>29</v>
      </c>
      <c r="D1781" s="83">
        <v>77.543475284129812</v>
      </c>
    </row>
    <row r="1782" spans="1:4" x14ac:dyDescent="0.35">
      <c r="A1782" s="82">
        <v>46226</v>
      </c>
      <c r="B1782" s="81" t="s">
        <v>27</v>
      </c>
      <c r="C1782" s="81" t="s">
        <v>30</v>
      </c>
      <c r="D1782" s="83">
        <v>76.551226551226549</v>
      </c>
    </row>
    <row r="1783" spans="1:4" x14ac:dyDescent="0.35">
      <c r="A1783" s="82">
        <v>46226</v>
      </c>
      <c r="B1783" s="81" t="s">
        <v>31</v>
      </c>
      <c r="C1783" s="81" t="s">
        <v>32</v>
      </c>
      <c r="D1783" s="83">
        <v>38.713109704877638</v>
      </c>
    </row>
    <row r="1784" spans="1:4" x14ac:dyDescent="0.35">
      <c r="A1784" s="82">
        <v>46226</v>
      </c>
      <c r="B1784" s="81" t="s">
        <v>31</v>
      </c>
      <c r="C1784" s="81" t="s">
        <v>33</v>
      </c>
      <c r="D1784" s="83">
        <v>97.353320060897062</v>
      </c>
    </row>
    <row r="1785" spans="1:4" x14ac:dyDescent="0.35">
      <c r="A1785" s="82">
        <v>46226</v>
      </c>
      <c r="B1785" s="81" t="s">
        <v>4</v>
      </c>
      <c r="C1785" s="81" t="s">
        <v>34</v>
      </c>
      <c r="D1785" s="83">
        <v>80.170378733449652</v>
      </c>
    </row>
    <row r="1786" spans="1:4" x14ac:dyDescent="0.35">
      <c r="A1786" s="82">
        <v>46226</v>
      </c>
      <c r="B1786" s="81" t="s">
        <v>35</v>
      </c>
      <c r="C1786" s="81" t="s">
        <v>36</v>
      </c>
      <c r="D1786" s="83">
        <v>95.376787921596332</v>
      </c>
    </row>
    <row r="1787" spans="1:4" x14ac:dyDescent="0.35">
      <c r="A1787" s="82">
        <v>46226</v>
      </c>
      <c r="B1787" s="81" t="s">
        <v>37</v>
      </c>
      <c r="C1787" s="81" t="s">
        <v>38</v>
      </c>
      <c r="D1787" s="83">
        <v>50.81799591002045</v>
      </c>
    </row>
    <row r="1788" spans="1:4" x14ac:dyDescent="0.35">
      <c r="A1788" s="82">
        <v>46226</v>
      </c>
      <c r="B1788" s="81" t="s">
        <v>39</v>
      </c>
      <c r="C1788" s="81" t="s">
        <v>40</v>
      </c>
      <c r="D1788" s="83">
        <v>91.482239166821643</v>
      </c>
    </row>
    <row r="1789" spans="1:4" x14ac:dyDescent="0.35">
      <c r="A1789" s="82">
        <v>46226</v>
      </c>
      <c r="B1789" s="81" t="s">
        <v>41</v>
      </c>
      <c r="C1789" s="81" t="s">
        <v>42</v>
      </c>
      <c r="D1789" s="83">
        <v>1.6042780748663101</v>
      </c>
    </row>
    <row r="1790" spans="1:4" x14ac:dyDescent="0.35">
      <c r="A1790" s="82">
        <v>46226</v>
      </c>
      <c r="B1790" s="81" t="s">
        <v>43</v>
      </c>
      <c r="C1790" s="81" t="s">
        <v>44</v>
      </c>
      <c r="D1790" s="83">
        <v>90.724832214765101</v>
      </c>
    </row>
    <row r="1791" spans="1:4" x14ac:dyDescent="0.35">
      <c r="A1791" s="82">
        <v>46226</v>
      </c>
      <c r="B1791" s="81" t="s">
        <v>27</v>
      </c>
      <c r="C1791" s="81" t="s">
        <v>45</v>
      </c>
      <c r="D1791" s="83">
        <v>38.871951219512198</v>
      </c>
    </row>
    <row r="1792" spans="1:4" x14ac:dyDescent="0.35">
      <c r="A1792" s="82">
        <v>46226</v>
      </c>
      <c r="B1792" s="81" t="s">
        <v>46</v>
      </c>
      <c r="C1792" s="81" t="s">
        <v>47</v>
      </c>
      <c r="D1792" s="83">
        <v>74.214365881032549</v>
      </c>
    </row>
    <row r="1793" spans="1:4" x14ac:dyDescent="0.35">
      <c r="A1793" s="82">
        <v>46226</v>
      </c>
      <c r="B1793" s="81" t="s">
        <v>48</v>
      </c>
      <c r="C1793" s="81" t="s">
        <v>49</v>
      </c>
      <c r="D1793" s="83">
        <v>65.873015873015873</v>
      </c>
    </row>
    <row r="1794" spans="1:4" x14ac:dyDescent="0.35">
      <c r="A1794" s="82">
        <v>46226</v>
      </c>
      <c r="B1794" s="81" t="s">
        <v>48</v>
      </c>
      <c r="C1794" s="81" t="s">
        <v>50</v>
      </c>
      <c r="D1794" s="83">
        <v>71.905817174515235</v>
      </c>
    </row>
    <row r="1795" spans="1:4" x14ac:dyDescent="0.35">
      <c r="A1795" s="82">
        <v>46226</v>
      </c>
      <c r="B1795" s="81" t="s">
        <v>48</v>
      </c>
      <c r="C1795" s="81" t="s">
        <v>51</v>
      </c>
      <c r="D1795" s="83">
        <v>73.264093366882591</v>
      </c>
    </row>
    <row r="1796" spans="1:4" x14ac:dyDescent="0.35">
      <c r="A1796" s="82">
        <v>46226</v>
      </c>
      <c r="B1796" s="81" t="s">
        <v>48</v>
      </c>
      <c r="C1796" s="81" t="s">
        <v>52</v>
      </c>
      <c r="D1796" s="83">
        <v>53.723404255319146</v>
      </c>
    </row>
    <row r="1797" spans="1:4" x14ac:dyDescent="0.35">
      <c r="A1797" s="82">
        <v>46226</v>
      </c>
      <c r="B1797" s="81" t="s">
        <v>53</v>
      </c>
      <c r="C1797" s="81" t="s">
        <v>54</v>
      </c>
      <c r="D1797" s="83">
        <v>62.911992598589109</v>
      </c>
    </row>
    <row r="1798" spans="1:4" x14ac:dyDescent="0.35">
      <c r="A1798" s="82">
        <v>46226</v>
      </c>
      <c r="B1798" s="81" t="s">
        <v>55</v>
      </c>
      <c r="C1798" s="81" t="s">
        <v>56</v>
      </c>
      <c r="D1798" s="83">
        <v>61.717850789996859</v>
      </c>
    </row>
    <row r="1799" spans="1:4" x14ac:dyDescent="0.35">
      <c r="A1799" s="82">
        <v>46226</v>
      </c>
      <c r="B1799" s="81" t="s">
        <v>57</v>
      </c>
      <c r="C1799" s="81" t="s">
        <v>59</v>
      </c>
      <c r="D1799" s="83">
        <v>54.350954359099674</v>
      </c>
    </row>
    <row r="1800" spans="1:4" x14ac:dyDescent="0.35">
      <c r="A1800" s="82">
        <v>46226</v>
      </c>
      <c r="B1800" s="81" t="s">
        <v>57</v>
      </c>
      <c r="C1800" s="81" t="s">
        <v>60</v>
      </c>
      <c r="D1800" s="83">
        <v>99.803664921465966</v>
      </c>
    </row>
    <row r="1801" spans="1:4" x14ac:dyDescent="0.35">
      <c r="A1801" s="82">
        <v>46226</v>
      </c>
      <c r="B1801" s="81" t="s">
        <v>57</v>
      </c>
      <c r="C1801" s="81" t="s">
        <v>61</v>
      </c>
      <c r="D1801" s="83">
        <v>72.930705657978379</v>
      </c>
    </row>
    <row r="1802" spans="1:4" x14ac:dyDescent="0.35">
      <c r="A1802" s="82">
        <v>46226</v>
      </c>
      <c r="B1802" s="81" t="s">
        <v>57</v>
      </c>
      <c r="C1802" s="81" t="s">
        <v>62</v>
      </c>
      <c r="D1802" s="83">
        <v>58.876811594202898</v>
      </c>
    </row>
    <row r="1803" spans="1:4" x14ac:dyDescent="0.35">
      <c r="A1803" s="82">
        <v>46226</v>
      </c>
      <c r="B1803" s="81" t="s">
        <v>57</v>
      </c>
      <c r="C1803" s="81" t="s">
        <v>63</v>
      </c>
      <c r="D1803" s="83">
        <v>61.35143769968051</v>
      </c>
    </row>
    <row r="1804" spans="1:4" x14ac:dyDescent="0.35">
      <c r="A1804" s="82">
        <v>46226</v>
      </c>
      <c r="B1804" s="81" t="s">
        <v>64</v>
      </c>
      <c r="C1804" s="81" t="s">
        <v>65</v>
      </c>
      <c r="D1804" s="83">
        <v>73.793103448275858</v>
      </c>
    </row>
    <row r="1805" spans="1:4" x14ac:dyDescent="0.35">
      <c r="A1805" s="82">
        <v>46226</v>
      </c>
      <c r="B1805" s="81" t="s">
        <v>43</v>
      </c>
      <c r="C1805" s="81" t="s">
        <v>66</v>
      </c>
      <c r="D1805" s="83">
        <v>86.706349206349202</v>
      </c>
    </row>
    <row r="1806" spans="1:4" x14ac:dyDescent="0.35">
      <c r="A1806" s="82">
        <v>46226</v>
      </c>
      <c r="B1806" s="81" t="s">
        <v>43</v>
      </c>
      <c r="C1806" s="81" t="s">
        <v>67</v>
      </c>
      <c r="D1806" s="83">
        <v>54.845328282828284</v>
      </c>
    </row>
    <row r="1807" spans="1:4" x14ac:dyDescent="0.35">
      <c r="A1807" s="82">
        <v>46226</v>
      </c>
      <c r="B1807" s="81" t="s">
        <v>43</v>
      </c>
      <c r="C1807" s="81" t="s">
        <v>68</v>
      </c>
      <c r="D1807" s="83">
        <v>94.347240915208616</v>
      </c>
    </row>
    <row r="1808" spans="1:4" x14ac:dyDescent="0.35">
      <c r="A1808" s="82">
        <v>46226</v>
      </c>
      <c r="B1808" s="81" t="s">
        <v>37</v>
      </c>
      <c r="C1808" s="81" t="s">
        <v>69</v>
      </c>
      <c r="D1808" s="83">
        <v>0</v>
      </c>
    </row>
    <row r="1809" spans="1:4" x14ac:dyDescent="0.35">
      <c r="A1809" s="82">
        <v>46226</v>
      </c>
      <c r="B1809" s="81" t="s">
        <v>37</v>
      </c>
      <c r="C1809" s="81" t="s">
        <v>70</v>
      </c>
      <c r="D1809" s="83">
        <v>74.557967565984555</v>
      </c>
    </row>
    <row r="1810" spans="1:4" x14ac:dyDescent="0.35">
      <c r="A1810" s="82">
        <v>46226</v>
      </c>
      <c r="B1810" s="81" t="s">
        <v>41</v>
      </c>
      <c r="C1810" s="81" t="s">
        <v>107</v>
      </c>
      <c r="D1810" s="83">
        <v>78.942757009345797</v>
      </c>
    </row>
    <row r="1811" spans="1:4" x14ac:dyDescent="0.35">
      <c r="A1811" s="82">
        <v>46226</v>
      </c>
      <c r="B1811" s="81" t="s">
        <v>41</v>
      </c>
      <c r="C1811" s="81" t="s">
        <v>71</v>
      </c>
      <c r="D1811" s="83">
        <v>86.352067868504776</v>
      </c>
    </row>
    <row r="1812" spans="1:4" x14ac:dyDescent="0.35">
      <c r="A1812" s="82">
        <v>46226</v>
      </c>
      <c r="B1812" s="81" t="s">
        <v>35</v>
      </c>
      <c r="C1812" s="81" t="s">
        <v>72</v>
      </c>
      <c r="D1812" s="83">
        <v>89.709269690107035</v>
      </c>
    </row>
    <row r="1813" spans="1:4" x14ac:dyDescent="0.35">
      <c r="A1813" s="82">
        <v>46226</v>
      </c>
      <c r="B1813" s="81" t="s">
        <v>35</v>
      </c>
      <c r="C1813" s="81" t="s">
        <v>73</v>
      </c>
      <c r="D1813" s="83">
        <v>74.442372516675036</v>
      </c>
    </row>
    <row r="1814" spans="1:4" x14ac:dyDescent="0.35">
      <c r="A1814" s="82">
        <v>46226</v>
      </c>
      <c r="B1814" s="81" t="s">
        <v>35</v>
      </c>
      <c r="C1814" s="81" t="s">
        <v>74</v>
      </c>
      <c r="D1814" s="83">
        <v>92.846639668305855</v>
      </c>
    </row>
    <row r="1815" spans="1:4" x14ac:dyDescent="0.35">
      <c r="A1815" s="82">
        <v>46226</v>
      </c>
      <c r="B1815" s="81" t="s">
        <v>35</v>
      </c>
      <c r="C1815" s="81" t="s">
        <v>75</v>
      </c>
      <c r="D1815" s="83">
        <v>75.540123456790127</v>
      </c>
    </row>
    <row r="1816" spans="1:4" x14ac:dyDescent="0.35">
      <c r="A1816" s="82">
        <v>46226</v>
      </c>
      <c r="B1816" s="81" t="s">
        <v>76</v>
      </c>
      <c r="C1816" s="81" t="s">
        <v>77</v>
      </c>
      <c r="D1816" s="83">
        <v>36.403872752420469</v>
      </c>
    </row>
    <row r="1817" spans="1:4" x14ac:dyDescent="0.35">
      <c r="A1817" s="82">
        <v>46226</v>
      </c>
      <c r="B1817" s="81" t="s">
        <v>76</v>
      </c>
      <c r="C1817" s="81" t="s">
        <v>78</v>
      </c>
      <c r="D1817" s="83">
        <v>78.886625933469105</v>
      </c>
    </row>
    <row r="1818" spans="1:4" x14ac:dyDescent="0.35">
      <c r="A1818" s="82">
        <v>46226</v>
      </c>
      <c r="B1818" s="81" t="s">
        <v>76</v>
      </c>
      <c r="C1818" s="81" t="s">
        <v>79</v>
      </c>
      <c r="D1818" s="83">
        <v>96.30211058782487</v>
      </c>
    </row>
    <row r="1819" spans="1:4" x14ac:dyDescent="0.35">
      <c r="A1819" s="82">
        <v>46226</v>
      </c>
      <c r="B1819" s="81" t="s">
        <v>76</v>
      </c>
      <c r="C1819" s="81" t="s">
        <v>80</v>
      </c>
      <c r="D1819" s="83">
        <v>87.939565294221595</v>
      </c>
    </row>
    <row r="1820" spans="1:4" x14ac:dyDescent="0.35">
      <c r="A1820" s="82">
        <v>46226</v>
      </c>
      <c r="B1820" s="81" t="s">
        <v>76</v>
      </c>
      <c r="C1820" s="81" t="s">
        <v>81</v>
      </c>
      <c r="D1820" s="83">
        <v>36.325710754017308</v>
      </c>
    </row>
    <row r="1821" spans="1:4" x14ac:dyDescent="0.35">
      <c r="A1821" s="82">
        <v>46226</v>
      </c>
      <c r="B1821" s="81" t="s">
        <v>76</v>
      </c>
      <c r="C1821" s="81" t="s">
        <v>82</v>
      </c>
      <c r="D1821" s="83">
        <v>83.378787878787875</v>
      </c>
    </row>
    <row r="1822" spans="1:4" x14ac:dyDescent="0.35">
      <c r="A1822" s="82">
        <v>46226</v>
      </c>
      <c r="B1822" s="81" t="s">
        <v>76</v>
      </c>
      <c r="C1822" s="81" t="s">
        <v>83</v>
      </c>
      <c r="D1822" s="83">
        <v>70</v>
      </c>
    </row>
    <row r="1823" spans="1:4" x14ac:dyDescent="0.35">
      <c r="A1823" s="82">
        <v>46226</v>
      </c>
      <c r="B1823" s="81" t="s">
        <v>4</v>
      </c>
      <c r="C1823" s="81" t="s">
        <v>84</v>
      </c>
      <c r="D1823" s="83">
        <v>95.163816734107826</v>
      </c>
    </row>
    <row r="1824" spans="1:4" x14ac:dyDescent="0.35">
      <c r="A1824" s="82">
        <v>46226</v>
      </c>
      <c r="B1824" s="81" t="s">
        <v>4</v>
      </c>
      <c r="C1824" s="81" t="s">
        <v>85</v>
      </c>
      <c r="D1824" s="83">
        <v>84.099982641902443</v>
      </c>
    </row>
    <row r="1825" spans="1:4" x14ac:dyDescent="0.35">
      <c r="A1825" s="82">
        <v>46226</v>
      </c>
      <c r="B1825" s="81" t="s">
        <v>7</v>
      </c>
      <c r="C1825" s="81" t="s">
        <v>114</v>
      </c>
      <c r="D1825" s="83">
        <v>68.914956011730212</v>
      </c>
    </row>
    <row r="1826" spans="1:4" x14ac:dyDescent="0.35">
      <c r="A1826" s="82">
        <v>46226</v>
      </c>
      <c r="B1826" s="81" t="s">
        <v>4</v>
      </c>
      <c r="C1826" s="81" t="s">
        <v>86</v>
      </c>
      <c r="D1826" s="83">
        <v>93.046092947132038</v>
      </c>
    </row>
    <row r="1827" spans="1:4" x14ac:dyDescent="0.35">
      <c r="A1827" s="82">
        <v>46226</v>
      </c>
      <c r="B1827" s="81" t="s">
        <v>31</v>
      </c>
      <c r="C1827" s="81" t="s">
        <v>87</v>
      </c>
      <c r="D1827" s="83">
        <v>80.661985957873625</v>
      </c>
    </row>
    <row r="1828" spans="1:4" x14ac:dyDescent="0.35">
      <c r="A1828" s="82">
        <v>46226</v>
      </c>
      <c r="B1828" s="81" t="s">
        <v>37</v>
      </c>
      <c r="C1828" s="81" t="s">
        <v>88</v>
      </c>
      <c r="D1828" s="83">
        <v>26.647564469914041</v>
      </c>
    </row>
    <row r="1829" spans="1:4" x14ac:dyDescent="0.35">
      <c r="A1829" s="82">
        <v>46226</v>
      </c>
      <c r="B1829" s="81" t="s">
        <v>64</v>
      </c>
      <c r="C1829" s="81" t="s">
        <v>89</v>
      </c>
      <c r="D1829" s="83">
        <v>55.44563319754689</v>
      </c>
    </row>
    <row r="1830" spans="1:4" x14ac:dyDescent="0.35">
      <c r="A1830" s="82">
        <v>46226</v>
      </c>
      <c r="B1830" s="81" t="s">
        <v>43</v>
      </c>
      <c r="C1830" s="81" t="s">
        <v>90</v>
      </c>
      <c r="D1830" s="83">
        <v>70.867842996038888</v>
      </c>
    </row>
    <row r="1831" spans="1:4" x14ac:dyDescent="0.35">
      <c r="A1831" s="82">
        <v>46226</v>
      </c>
      <c r="B1831" s="81" t="s">
        <v>37</v>
      </c>
      <c r="C1831" s="81" t="s">
        <v>91</v>
      </c>
      <c r="D1831" s="83">
        <v>66.096029630967976</v>
      </c>
    </row>
    <row r="1832" spans="1:4" x14ac:dyDescent="0.35">
      <c r="A1832" s="82">
        <v>46226</v>
      </c>
      <c r="B1832" s="81" t="s">
        <v>37</v>
      </c>
      <c r="C1832" s="81" t="s">
        <v>92</v>
      </c>
      <c r="D1832" s="83">
        <v>84.246353322528364</v>
      </c>
    </row>
    <row r="1833" spans="1:4" x14ac:dyDescent="0.35">
      <c r="A1833" s="82">
        <v>46226</v>
      </c>
      <c r="B1833" s="81" t="s">
        <v>35</v>
      </c>
      <c r="C1833" s="81" t="s">
        <v>115</v>
      </c>
      <c r="D1833" s="83">
        <v>77.477477477477478</v>
      </c>
    </row>
    <row r="1834" spans="1:4" x14ac:dyDescent="0.35">
      <c r="A1834" s="82">
        <v>46226</v>
      </c>
      <c r="B1834" s="81" t="s">
        <v>35</v>
      </c>
      <c r="C1834" s="81" t="s">
        <v>93</v>
      </c>
      <c r="D1834" s="83">
        <v>99.11651021535063</v>
      </c>
    </row>
    <row r="1835" spans="1:4" x14ac:dyDescent="0.35">
      <c r="A1835" s="82">
        <v>46226</v>
      </c>
      <c r="B1835" s="81" t="s">
        <v>35</v>
      </c>
      <c r="C1835" s="81" t="s">
        <v>94</v>
      </c>
      <c r="D1835" s="83">
        <v>100</v>
      </c>
    </row>
    <row r="1836" spans="1:4" x14ac:dyDescent="0.35">
      <c r="A1836" s="82">
        <v>46226</v>
      </c>
      <c r="B1836" s="81" t="s">
        <v>76</v>
      </c>
      <c r="C1836" s="81" t="s">
        <v>95</v>
      </c>
      <c r="D1836" s="83">
        <v>44.40139933282898</v>
      </c>
    </row>
    <row r="1837" spans="1:4" x14ac:dyDescent="0.35">
      <c r="A1837" s="82">
        <v>46226</v>
      </c>
      <c r="B1837" s="81" t="s">
        <v>76</v>
      </c>
      <c r="C1837" s="81" t="s">
        <v>96</v>
      </c>
      <c r="D1837" s="83">
        <v>88.038053949903656</v>
      </c>
    </row>
    <row r="1838" spans="1:4" x14ac:dyDescent="0.35">
      <c r="A1838" s="82">
        <v>46226</v>
      </c>
      <c r="B1838" s="81" t="s">
        <v>76</v>
      </c>
      <c r="C1838" s="81" t="s">
        <v>97</v>
      </c>
      <c r="D1838" s="83">
        <v>81.581312410841662</v>
      </c>
    </row>
    <row r="1839" spans="1:4" x14ac:dyDescent="0.35">
      <c r="A1839" s="82">
        <v>46226</v>
      </c>
      <c r="B1839" s="81" t="s">
        <v>76</v>
      </c>
      <c r="C1839" s="81" t="s">
        <v>98</v>
      </c>
      <c r="D1839" s="83">
        <v>46.434655633974202</v>
      </c>
    </row>
    <row r="1840" spans="1:4" x14ac:dyDescent="0.35">
      <c r="A1840" s="82">
        <v>46226</v>
      </c>
      <c r="B1840" s="81" t="s">
        <v>17</v>
      </c>
      <c r="C1840" s="81" t="s">
        <v>99</v>
      </c>
      <c r="D1840" s="83">
        <v>70.042410714285708</v>
      </c>
    </row>
    <row r="1841" spans="1:4" x14ac:dyDescent="0.35">
      <c r="A1841" s="82">
        <v>46226</v>
      </c>
      <c r="B1841" s="81" t="s">
        <v>27</v>
      </c>
      <c r="C1841" s="81" t="s">
        <v>100</v>
      </c>
      <c r="D1841" s="83">
        <v>91.428571428571431</v>
      </c>
    </row>
    <row r="1842" spans="1:4" x14ac:dyDescent="0.35">
      <c r="A1842" s="82">
        <v>46226</v>
      </c>
      <c r="B1842" s="81" t="s">
        <v>76</v>
      </c>
      <c r="C1842" s="81" t="s">
        <v>101</v>
      </c>
      <c r="D1842" s="83">
        <v>25.28032619775739</v>
      </c>
    </row>
    <row r="1843" spans="1:4" x14ac:dyDescent="0.35">
      <c r="A1843" s="82">
        <v>46226</v>
      </c>
      <c r="B1843" s="81" t="s">
        <v>64</v>
      </c>
      <c r="C1843" s="81" t="s">
        <v>102</v>
      </c>
      <c r="D1843" s="83">
        <v>68.251473477406677</v>
      </c>
    </row>
    <row r="1844" spans="1:4" x14ac:dyDescent="0.35">
      <c r="A1844" s="82">
        <v>46226</v>
      </c>
      <c r="B1844" s="81" t="s">
        <v>35</v>
      </c>
      <c r="C1844" s="81" t="s">
        <v>103</v>
      </c>
      <c r="D1844" s="83">
        <v>65.923933922397239</v>
      </c>
    </row>
    <row r="1845" spans="1:4" x14ac:dyDescent="0.35">
      <c r="A1845" s="82">
        <v>46226</v>
      </c>
      <c r="B1845" s="81" t="s">
        <v>4</v>
      </c>
      <c r="C1845" s="81" t="s">
        <v>104</v>
      </c>
      <c r="D1845" s="83">
        <v>58.393157171223464</v>
      </c>
    </row>
    <row r="1846" spans="1:4" x14ac:dyDescent="0.35">
      <c r="A1846" s="82">
        <v>46226</v>
      </c>
      <c r="B1846" s="81" t="s">
        <v>41</v>
      </c>
      <c r="C1846" s="81" t="s">
        <v>105</v>
      </c>
      <c r="D1846" s="83">
        <v>56.468262683944651</v>
      </c>
    </row>
    <row r="1847" spans="1:4" x14ac:dyDescent="0.35">
      <c r="A1847" s="82">
        <v>46226</v>
      </c>
      <c r="B1847" s="81" t="s">
        <v>37</v>
      </c>
      <c r="C1847" s="81" t="s">
        <v>106</v>
      </c>
      <c r="D1847" s="83">
        <v>32.708628005657708</v>
      </c>
    </row>
    <row r="1848" spans="1:4" x14ac:dyDescent="0.35">
      <c r="A1848" s="85">
        <v>46227</v>
      </c>
      <c r="B1848" s="84" t="s">
        <v>4</v>
      </c>
      <c r="C1848" s="84" t="s">
        <v>5</v>
      </c>
      <c r="D1848" s="86">
        <v>90.618061119377359</v>
      </c>
    </row>
    <row r="1849" spans="1:4" x14ac:dyDescent="0.35">
      <c r="A1849" s="85">
        <v>46227</v>
      </c>
      <c r="B1849" s="84" t="s">
        <v>4</v>
      </c>
      <c r="C1849" s="84" t="s">
        <v>113</v>
      </c>
      <c r="D1849" s="86">
        <v>78.199052132701425</v>
      </c>
    </row>
    <row r="1850" spans="1:4" x14ac:dyDescent="0.35">
      <c r="A1850" s="85">
        <v>46227</v>
      </c>
      <c r="B1850" s="84" t="s">
        <v>4</v>
      </c>
      <c r="C1850" s="84" t="s">
        <v>6</v>
      </c>
      <c r="D1850" s="86">
        <v>94.504270330486449</v>
      </c>
    </row>
    <row r="1851" spans="1:4" x14ac:dyDescent="0.35">
      <c r="A1851" s="85">
        <v>46227</v>
      </c>
      <c r="B1851" s="84" t="s">
        <v>7</v>
      </c>
      <c r="C1851" s="84" t="s">
        <v>8</v>
      </c>
      <c r="D1851" s="86">
        <v>88.193182443967174</v>
      </c>
    </row>
    <row r="1852" spans="1:4" x14ac:dyDescent="0.35">
      <c r="A1852" s="85">
        <v>46227</v>
      </c>
      <c r="B1852" s="84" t="s">
        <v>7</v>
      </c>
      <c r="C1852" s="84" t="s">
        <v>9</v>
      </c>
      <c r="D1852" s="86">
        <v>84.57692307692308</v>
      </c>
    </row>
    <row r="1853" spans="1:4" x14ac:dyDescent="0.35">
      <c r="A1853" s="85">
        <v>46227</v>
      </c>
      <c r="B1853" s="84" t="s">
        <v>7</v>
      </c>
      <c r="C1853" s="84" t="s">
        <v>10</v>
      </c>
      <c r="D1853" s="86">
        <v>94.045994608446762</v>
      </c>
    </row>
    <row r="1854" spans="1:4" x14ac:dyDescent="0.35">
      <c r="A1854" s="85">
        <v>46227</v>
      </c>
      <c r="B1854" s="84" t="s">
        <v>7</v>
      </c>
      <c r="C1854" s="84" t="s">
        <v>11</v>
      </c>
      <c r="D1854" s="86">
        <v>55.630074126367809</v>
      </c>
    </row>
    <row r="1855" spans="1:4" x14ac:dyDescent="0.35">
      <c r="A1855" s="85">
        <v>46227</v>
      </c>
      <c r="B1855" s="84" t="s">
        <v>7</v>
      </c>
      <c r="C1855" s="84" t="s">
        <v>12</v>
      </c>
      <c r="D1855" s="86">
        <v>59.277214631996472</v>
      </c>
    </row>
    <row r="1856" spans="1:4" x14ac:dyDescent="0.35">
      <c r="A1856" s="85">
        <v>46227</v>
      </c>
      <c r="B1856" s="84" t="s">
        <v>7</v>
      </c>
      <c r="C1856" s="84" t="s">
        <v>13</v>
      </c>
      <c r="D1856" s="86">
        <v>38.590177815410669</v>
      </c>
    </row>
    <row r="1857" spans="1:4" x14ac:dyDescent="0.35">
      <c r="A1857" s="85">
        <v>46227</v>
      </c>
      <c r="B1857" s="84" t="s">
        <v>7</v>
      </c>
      <c r="C1857" s="84" t="s">
        <v>14</v>
      </c>
      <c r="D1857" s="86">
        <v>53.439153439153436</v>
      </c>
    </row>
    <row r="1858" spans="1:4" x14ac:dyDescent="0.35">
      <c r="A1858" s="85">
        <v>46227</v>
      </c>
      <c r="B1858" s="84" t="s">
        <v>7</v>
      </c>
      <c r="C1858" s="84" t="s">
        <v>15</v>
      </c>
      <c r="D1858" s="86">
        <v>93.678688524590157</v>
      </c>
    </row>
    <row r="1859" spans="1:4" x14ac:dyDescent="0.35">
      <c r="A1859" s="85">
        <v>46227</v>
      </c>
      <c r="B1859" s="84" t="s">
        <v>7</v>
      </c>
      <c r="C1859" s="84" t="s">
        <v>16</v>
      </c>
      <c r="D1859" s="86">
        <v>47.004048582995949</v>
      </c>
    </row>
    <row r="1860" spans="1:4" x14ac:dyDescent="0.35">
      <c r="A1860" s="85">
        <v>46227</v>
      </c>
      <c r="B1860" s="84" t="s">
        <v>17</v>
      </c>
      <c r="C1860" s="84" t="s">
        <v>18</v>
      </c>
      <c r="D1860" s="86">
        <v>71.908146528157459</v>
      </c>
    </row>
    <row r="1861" spans="1:4" x14ac:dyDescent="0.35">
      <c r="A1861" s="85">
        <v>46227</v>
      </c>
      <c r="B1861" s="84" t="s">
        <v>17</v>
      </c>
      <c r="C1861" s="84" t="s">
        <v>19</v>
      </c>
      <c r="D1861" s="86">
        <v>91.061363320838538</v>
      </c>
    </row>
    <row r="1862" spans="1:4" x14ac:dyDescent="0.35">
      <c r="A1862" s="85">
        <v>46227</v>
      </c>
      <c r="B1862" s="84" t="s">
        <v>17</v>
      </c>
      <c r="C1862" s="84" t="s">
        <v>20</v>
      </c>
      <c r="D1862" s="86">
        <v>75.650488033159519</v>
      </c>
    </row>
    <row r="1863" spans="1:4" x14ac:dyDescent="0.35">
      <c r="A1863" s="85">
        <v>46227</v>
      </c>
      <c r="B1863" s="84" t="s">
        <v>17</v>
      </c>
      <c r="C1863" s="84" t="s">
        <v>21</v>
      </c>
      <c r="D1863" s="86">
        <v>82.039693456474751</v>
      </c>
    </row>
    <row r="1864" spans="1:4" x14ac:dyDescent="0.35">
      <c r="A1864" s="85">
        <v>46227</v>
      </c>
      <c r="B1864" s="84" t="s">
        <v>17</v>
      </c>
      <c r="C1864" s="84" t="s">
        <v>22</v>
      </c>
      <c r="D1864" s="86">
        <v>74.026620226396318</v>
      </c>
    </row>
    <row r="1865" spans="1:4" x14ac:dyDescent="0.35">
      <c r="A1865" s="85">
        <v>46227</v>
      </c>
      <c r="B1865" s="84" t="s">
        <v>17</v>
      </c>
      <c r="C1865" s="84" t="s">
        <v>23</v>
      </c>
      <c r="D1865" s="86">
        <v>91.370860927152322</v>
      </c>
    </row>
    <row r="1866" spans="1:4" x14ac:dyDescent="0.35">
      <c r="A1866" s="85">
        <v>46227</v>
      </c>
      <c r="B1866" s="84" t="s">
        <v>17</v>
      </c>
      <c r="C1866" s="84" t="s">
        <v>24</v>
      </c>
      <c r="D1866" s="86">
        <v>36.036036036036037</v>
      </c>
    </row>
    <row r="1867" spans="1:4" x14ac:dyDescent="0.35">
      <c r="A1867" s="85">
        <v>46227</v>
      </c>
      <c r="B1867" s="84" t="s">
        <v>17</v>
      </c>
      <c r="C1867" s="84" t="s">
        <v>25</v>
      </c>
      <c r="D1867" s="86">
        <v>87.256965944272451</v>
      </c>
    </row>
    <row r="1868" spans="1:4" x14ac:dyDescent="0.35">
      <c r="A1868" s="85">
        <v>46227</v>
      </c>
      <c r="B1868" s="84" t="s">
        <v>17</v>
      </c>
      <c r="C1868" s="84" t="s">
        <v>26</v>
      </c>
      <c r="D1868" s="86">
        <v>71.435884310212444</v>
      </c>
    </row>
    <row r="1869" spans="1:4" x14ac:dyDescent="0.35">
      <c r="A1869" s="85">
        <v>46227</v>
      </c>
      <c r="B1869" s="84" t="s">
        <v>27</v>
      </c>
      <c r="C1869" s="84" t="s">
        <v>28</v>
      </c>
      <c r="D1869" s="86">
        <v>93.342110212525867</v>
      </c>
    </row>
    <row r="1870" spans="1:4" x14ac:dyDescent="0.35">
      <c r="A1870" s="85">
        <v>46227</v>
      </c>
      <c r="B1870" s="84" t="s">
        <v>27</v>
      </c>
      <c r="C1870" s="84" t="s">
        <v>29</v>
      </c>
      <c r="D1870" s="86">
        <v>75.653840887306586</v>
      </c>
    </row>
    <row r="1871" spans="1:4" x14ac:dyDescent="0.35">
      <c r="A1871" s="85">
        <v>46227</v>
      </c>
      <c r="B1871" s="84" t="s">
        <v>27</v>
      </c>
      <c r="C1871" s="84" t="s">
        <v>30</v>
      </c>
      <c r="D1871" s="86">
        <v>75.649350649350652</v>
      </c>
    </row>
    <row r="1872" spans="1:4" x14ac:dyDescent="0.35">
      <c r="A1872" s="85">
        <v>46227</v>
      </c>
      <c r="B1872" s="84" t="s">
        <v>31</v>
      </c>
      <c r="C1872" s="84" t="s">
        <v>32</v>
      </c>
      <c r="D1872" s="86">
        <v>38.505908047264377</v>
      </c>
    </row>
    <row r="1873" spans="1:4" x14ac:dyDescent="0.35">
      <c r="A1873" s="85">
        <v>46227</v>
      </c>
      <c r="B1873" s="84" t="s">
        <v>31</v>
      </c>
      <c r="C1873" s="84" t="s">
        <v>33</v>
      </c>
      <c r="D1873" s="86">
        <v>96.955146972713436</v>
      </c>
    </row>
    <row r="1874" spans="1:4" x14ac:dyDescent="0.35">
      <c r="A1874" s="85">
        <v>46227</v>
      </c>
      <c r="B1874" s="84" t="s">
        <v>4</v>
      </c>
      <c r="C1874" s="84" t="s">
        <v>34</v>
      </c>
      <c r="D1874" s="86">
        <v>79.144000821102324</v>
      </c>
    </row>
    <row r="1875" spans="1:4" x14ac:dyDescent="0.35">
      <c r="A1875" s="85">
        <v>46227</v>
      </c>
      <c r="B1875" s="84" t="s">
        <v>35</v>
      </c>
      <c r="C1875" s="84" t="s">
        <v>36</v>
      </c>
      <c r="D1875" s="86">
        <v>95.202410383189118</v>
      </c>
    </row>
    <row r="1876" spans="1:4" x14ac:dyDescent="0.35">
      <c r="A1876" s="85">
        <v>46227</v>
      </c>
      <c r="B1876" s="84" t="s">
        <v>37</v>
      </c>
      <c r="C1876" s="84" t="s">
        <v>38</v>
      </c>
      <c r="D1876" s="86">
        <v>49.591002044989779</v>
      </c>
    </row>
    <row r="1877" spans="1:4" x14ac:dyDescent="0.35">
      <c r="A1877" s="85">
        <v>46227</v>
      </c>
      <c r="B1877" s="84" t="s">
        <v>39</v>
      </c>
      <c r="C1877" s="84" t="s">
        <v>40</v>
      </c>
      <c r="D1877" s="86">
        <v>91.166077738515895</v>
      </c>
    </row>
    <row r="1878" spans="1:4" x14ac:dyDescent="0.35">
      <c r="A1878" s="85">
        <v>46227</v>
      </c>
      <c r="B1878" s="84" t="s">
        <v>41</v>
      </c>
      <c r="C1878" s="84" t="s">
        <v>42</v>
      </c>
      <c r="D1878" s="86">
        <v>1.6399286987522281</v>
      </c>
    </row>
    <row r="1879" spans="1:4" x14ac:dyDescent="0.35">
      <c r="A1879" s="85">
        <v>46227</v>
      </c>
      <c r="B1879" s="84" t="s">
        <v>43</v>
      </c>
      <c r="C1879" s="84" t="s">
        <v>44</v>
      </c>
      <c r="D1879" s="86">
        <v>93.127516778523486</v>
      </c>
    </row>
    <row r="1880" spans="1:4" x14ac:dyDescent="0.35">
      <c r="A1880" s="85">
        <v>46227</v>
      </c>
      <c r="B1880" s="84" t="s">
        <v>27</v>
      </c>
      <c r="C1880" s="84" t="s">
        <v>45</v>
      </c>
      <c r="D1880" s="86">
        <v>38.871951219512198</v>
      </c>
    </row>
    <row r="1881" spans="1:4" x14ac:dyDescent="0.35">
      <c r="A1881" s="85">
        <v>46227</v>
      </c>
      <c r="B1881" s="84" t="s">
        <v>46</v>
      </c>
      <c r="C1881" s="84" t="s">
        <v>47</v>
      </c>
      <c r="D1881" s="86">
        <v>73.197250280583617</v>
      </c>
    </row>
    <row r="1882" spans="1:4" x14ac:dyDescent="0.35">
      <c r="A1882" s="85">
        <v>46227</v>
      </c>
      <c r="B1882" s="84" t="s">
        <v>48</v>
      </c>
      <c r="C1882" s="84" t="s">
        <v>49</v>
      </c>
      <c r="D1882" s="86">
        <v>65.204678362573105</v>
      </c>
    </row>
    <row r="1883" spans="1:4" x14ac:dyDescent="0.35">
      <c r="A1883" s="85">
        <v>46227</v>
      </c>
      <c r="B1883" s="84" t="s">
        <v>48</v>
      </c>
      <c r="C1883" s="84" t="s">
        <v>50</v>
      </c>
      <c r="D1883" s="86">
        <v>71.529085872576175</v>
      </c>
    </row>
    <row r="1884" spans="1:4" x14ac:dyDescent="0.35">
      <c r="A1884" s="85">
        <v>46227</v>
      </c>
      <c r="B1884" s="84" t="s">
        <v>48</v>
      </c>
      <c r="C1884" s="84" t="s">
        <v>51</v>
      </c>
      <c r="D1884" s="86">
        <v>71.893570319610262</v>
      </c>
    </row>
    <row r="1885" spans="1:4" x14ac:dyDescent="0.35">
      <c r="A1885" s="85">
        <v>46227</v>
      </c>
      <c r="B1885" s="84" t="s">
        <v>48</v>
      </c>
      <c r="C1885" s="84" t="s">
        <v>52</v>
      </c>
      <c r="D1885" s="86">
        <v>54.787234042553195</v>
      </c>
    </row>
    <row r="1886" spans="1:4" x14ac:dyDescent="0.35">
      <c r="A1886" s="85">
        <v>46227</v>
      </c>
      <c r="B1886" s="84" t="s">
        <v>53</v>
      </c>
      <c r="C1886" s="84" t="s">
        <v>54</v>
      </c>
      <c r="D1886" s="86">
        <v>62.090898577541346</v>
      </c>
    </row>
    <row r="1887" spans="1:4" x14ac:dyDescent="0.35">
      <c r="A1887" s="85">
        <v>46227</v>
      </c>
      <c r="B1887" s="84" t="s">
        <v>55</v>
      </c>
      <c r="C1887" s="84" t="s">
        <v>56</v>
      </c>
      <c r="D1887" s="86">
        <v>60.954012765512189</v>
      </c>
    </row>
    <row r="1888" spans="1:4" x14ac:dyDescent="0.35">
      <c r="A1888" s="85">
        <v>46227</v>
      </c>
      <c r="B1888" s="84" t="s">
        <v>57</v>
      </c>
      <c r="C1888" s="84" t="s">
        <v>59</v>
      </c>
      <c r="D1888" s="86">
        <v>53.653172599169181</v>
      </c>
    </row>
    <row r="1889" spans="1:4" x14ac:dyDescent="0.35">
      <c r="A1889" s="85">
        <v>46227</v>
      </c>
      <c r="B1889" s="84" t="s">
        <v>57</v>
      </c>
      <c r="C1889" s="84" t="s">
        <v>60</v>
      </c>
      <c r="D1889" s="86">
        <v>99.803664921465966</v>
      </c>
    </row>
    <row r="1890" spans="1:4" x14ac:dyDescent="0.35">
      <c r="A1890" s="85">
        <v>46227</v>
      </c>
      <c r="B1890" s="84" t="s">
        <v>57</v>
      </c>
      <c r="C1890" s="84" t="s">
        <v>61</v>
      </c>
      <c r="D1890" s="86">
        <v>70.845518118245394</v>
      </c>
    </row>
    <row r="1891" spans="1:4" x14ac:dyDescent="0.35">
      <c r="A1891" s="85">
        <v>46227</v>
      </c>
      <c r="B1891" s="84" t="s">
        <v>57</v>
      </c>
      <c r="C1891" s="84" t="s">
        <v>62</v>
      </c>
      <c r="D1891" s="86">
        <v>58.695652173913047</v>
      </c>
    </row>
    <row r="1892" spans="1:4" x14ac:dyDescent="0.35">
      <c r="A1892" s="85">
        <v>46227</v>
      </c>
      <c r="B1892" s="84" t="s">
        <v>57</v>
      </c>
      <c r="C1892" s="84" t="s">
        <v>63</v>
      </c>
      <c r="D1892" s="86">
        <v>61.146964856230035</v>
      </c>
    </row>
    <row r="1893" spans="1:4" x14ac:dyDescent="0.35">
      <c r="A1893" s="85">
        <v>46227</v>
      </c>
      <c r="B1893" s="84" t="s">
        <v>64</v>
      </c>
      <c r="C1893" s="84" t="s">
        <v>65</v>
      </c>
      <c r="D1893" s="86">
        <v>72.41379310344827</v>
      </c>
    </row>
    <row r="1894" spans="1:4" x14ac:dyDescent="0.35">
      <c r="A1894" s="85">
        <v>46227</v>
      </c>
      <c r="B1894" s="84" t="s">
        <v>43</v>
      </c>
      <c r="C1894" s="84" t="s">
        <v>66</v>
      </c>
      <c r="D1894" s="86">
        <v>79.563492063492063</v>
      </c>
    </row>
    <row r="1895" spans="1:4" x14ac:dyDescent="0.35">
      <c r="A1895" s="85">
        <v>46227</v>
      </c>
      <c r="B1895" s="84" t="s">
        <v>43</v>
      </c>
      <c r="C1895" s="84" t="s">
        <v>67</v>
      </c>
      <c r="D1895" s="86">
        <v>54.765286796536799</v>
      </c>
    </row>
    <row r="1896" spans="1:4" x14ac:dyDescent="0.35">
      <c r="A1896" s="85">
        <v>46227</v>
      </c>
      <c r="B1896" s="84" t="s">
        <v>43</v>
      </c>
      <c r="C1896" s="84" t="s">
        <v>68</v>
      </c>
      <c r="D1896" s="86">
        <v>94.347240915208616</v>
      </c>
    </row>
    <row r="1897" spans="1:4" x14ac:dyDescent="0.35">
      <c r="A1897" s="85">
        <v>46227</v>
      </c>
      <c r="B1897" s="84" t="s">
        <v>37</v>
      </c>
      <c r="C1897" s="84" t="s">
        <v>69</v>
      </c>
      <c r="D1897" s="86">
        <v>0</v>
      </c>
    </row>
    <row r="1898" spans="1:4" x14ac:dyDescent="0.35">
      <c r="A1898" s="85">
        <v>46227</v>
      </c>
      <c r="B1898" s="84" t="s">
        <v>37</v>
      </c>
      <c r="C1898" s="84" t="s">
        <v>70</v>
      </c>
      <c r="D1898" s="86">
        <v>74.304157362326265</v>
      </c>
    </row>
    <row r="1899" spans="1:4" x14ac:dyDescent="0.35">
      <c r="A1899" s="85">
        <v>46227</v>
      </c>
      <c r="B1899" s="84" t="s">
        <v>41</v>
      </c>
      <c r="C1899" s="84" t="s">
        <v>107</v>
      </c>
      <c r="D1899" s="86">
        <v>78.066588785046733</v>
      </c>
    </row>
    <row r="1900" spans="1:4" x14ac:dyDescent="0.35">
      <c r="A1900" s="85">
        <v>46227</v>
      </c>
      <c r="B1900" s="84" t="s">
        <v>41</v>
      </c>
      <c r="C1900" s="84" t="s">
        <v>71</v>
      </c>
      <c r="D1900" s="86">
        <v>86.352067868504776</v>
      </c>
    </row>
    <row r="1901" spans="1:4" x14ac:dyDescent="0.35">
      <c r="A1901" s="85">
        <v>46227</v>
      </c>
      <c r="B1901" s="84" t="s">
        <v>35</v>
      </c>
      <c r="C1901" s="84" t="s">
        <v>72</v>
      </c>
      <c r="D1901" s="86">
        <v>89.460542361070779</v>
      </c>
    </row>
    <row r="1902" spans="1:4" x14ac:dyDescent="0.35">
      <c r="A1902" s="85">
        <v>46227</v>
      </c>
      <c r="B1902" s="84" t="s">
        <v>35</v>
      </c>
      <c r="C1902" s="84" t="s">
        <v>73</v>
      </c>
      <c r="D1902" s="86">
        <v>73.977981782973529</v>
      </c>
    </row>
    <row r="1903" spans="1:4" x14ac:dyDescent="0.35">
      <c r="A1903" s="85">
        <v>46227</v>
      </c>
      <c r="B1903" s="84" t="s">
        <v>35</v>
      </c>
      <c r="C1903" s="84" t="s">
        <v>74</v>
      </c>
      <c r="D1903" s="86">
        <v>92.524828849676979</v>
      </c>
    </row>
    <row r="1904" spans="1:4" x14ac:dyDescent="0.35">
      <c r="A1904" s="85">
        <v>46227</v>
      </c>
      <c r="B1904" s="84" t="s">
        <v>35</v>
      </c>
      <c r="C1904" s="84" t="s">
        <v>75</v>
      </c>
      <c r="D1904" s="86">
        <v>75.848765432098759</v>
      </c>
    </row>
    <row r="1905" spans="1:4" x14ac:dyDescent="0.35">
      <c r="A1905" s="85">
        <v>46227</v>
      </c>
      <c r="B1905" s="84" t="s">
        <v>76</v>
      </c>
      <c r="C1905" s="84" t="s">
        <v>77</v>
      </c>
      <c r="D1905" s="86">
        <v>36.504149377593365</v>
      </c>
    </row>
    <row r="1906" spans="1:4" x14ac:dyDescent="0.35">
      <c r="A1906" s="85">
        <v>46227</v>
      </c>
      <c r="B1906" s="84" t="s">
        <v>76</v>
      </c>
      <c r="C1906" s="84" t="s">
        <v>78</v>
      </c>
      <c r="D1906" s="86">
        <v>78.524553066304591</v>
      </c>
    </row>
    <row r="1907" spans="1:4" x14ac:dyDescent="0.35">
      <c r="A1907" s="85">
        <v>46227</v>
      </c>
      <c r="B1907" s="84" t="s">
        <v>76</v>
      </c>
      <c r="C1907" s="84" t="s">
        <v>79</v>
      </c>
      <c r="D1907" s="86">
        <v>96.30211058782487</v>
      </c>
    </row>
    <row r="1908" spans="1:4" x14ac:dyDescent="0.35">
      <c r="A1908" s="85">
        <v>46227</v>
      </c>
      <c r="B1908" s="84" t="s">
        <v>76</v>
      </c>
      <c r="C1908" s="84" t="s">
        <v>80</v>
      </c>
      <c r="D1908" s="86">
        <v>87.789362078105668</v>
      </c>
    </row>
    <row r="1909" spans="1:4" x14ac:dyDescent="0.35">
      <c r="A1909" s="85">
        <v>46227</v>
      </c>
      <c r="B1909" s="84" t="s">
        <v>76</v>
      </c>
      <c r="C1909" s="84" t="s">
        <v>81</v>
      </c>
      <c r="D1909" s="86">
        <v>34.942830655129789</v>
      </c>
    </row>
    <row r="1910" spans="1:4" x14ac:dyDescent="0.35">
      <c r="A1910" s="85">
        <v>46227</v>
      </c>
      <c r="B1910" s="84" t="s">
        <v>76</v>
      </c>
      <c r="C1910" s="84" t="s">
        <v>82</v>
      </c>
      <c r="D1910" s="86">
        <v>78.090909090909093</v>
      </c>
    </row>
    <row r="1911" spans="1:4" x14ac:dyDescent="0.35">
      <c r="A1911" s="85">
        <v>46227</v>
      </c>
      <c r="B1911" s="84" t="s">
        <v>76</v>
      </c>
      <c r="C1911" s="84" t="s">
        <v>83</v>
      </c>
      <c r="D1911" s="86">
        <v>74.20289855072464</v>
      </c>
    </row>
    <row r="1912" spans="1:4" x14ac:dyDescent="0.35">
      <c r="A1912" s="85">
        <v>46227</v>
      </c>
      <c r="B1912" s="84" t="s">
        <v>4</v>
      </c>
      <c r="C1912" s="84" t="s">
        <v>84</v>
      </c>
      <c r="D1912" s="86">
        <v>95.033285471870514</v>
      </c>
    </row>
    <row r="1913" spans="1:4" x14ac:dyDescent="0.35">
      <c r="A1913" s="85">
        <v>46227</v>
      </c>
      <c r="B1913" s="84" t="s">
        <v>4</v>
      </c>
      <c r="C1913" s="84" t="s">
        <v>85</v>
      </c>
      <c r="D1913" s="86">
        <v>84.099982641902443</v>
      </c>
    </row>
    <row r="1914" spans="1:4" x14ac:dyDescent="0.35">
      <c r="A1914" s="85">
        <v>46227</v>
      </c>
      <c r="B1914" s="84" t="s">
        <v>7</v>
      </c>
      <c r="C1914" s="84" t="s">
        <v>114</v>
      </c>
      <c r="D1914" s="86">
        <v>78.005865102639291</v>
      </c>
    </row>
    <row r="1915" spans="1:4" x14ac:dyDescent="0.35">
      <c r="A1915" s="85">
        <v>46227</v>
      </c>
      <c r="B1915" s="84" t="s">
        <v>4</v>
      </c>
      <c r="C1915" s="84" t="s">
        <v>86</v>
      </c>
      <c r="D1915" s="86">
        <v>92.692117382864538</v>
      </c>
    </row>
    <row r="1916" spans="1:4" x14ac:dyDescent="0.35">
      <c r="A1916" s="85">
        <v>46227</v>
      </c>
      <c r="B1916" s="84" t="s">
        <v>31</v>
      </c>
      <c r="C1916" s="84" t="s">
        <v>87</v>
      </c>
      <c r="D1916" s="86">
        <v>80.661985957873625</v>
      </c>
    </row>
    <row r="1917" spans="1:4" x14ac:dyDescent="0.35">
      <c r="A1917" s="85">
        <v>46227</v>
      </c>
      <c r="B1917" s="84" t="s">
        <v>37</v>
      </c>
      <c r="C1917" s="84" t="s">
        <v>88</v>
      </c>
      <c r="D1917" s="86">
        <v>25.501432664756447</v>
      </c>
    </row>
    <row r="1918" spans="1:4" x14ac:dyDescent="0.35">
      <c r="A1918" s="85">
        <v>46227</v>
      </c>
      <c r="B1918" s="84" t="s">
        <v>64</v>
      </c>
      <c r="C1918" s="84" t="s">
        <v>89</v>
      </c>
      <c r="D1918" s="86">
        <v>54.49214378441291</v>
      </c>
    </row>
    <row r="1919" spans="1:4" x14ac:dyDescent="0.35">
      <c r="A1919" s="85">
        <v>46227</v>
      </c>
      <c r="B1919" s="84" t="s">
        <v>43</v>
      </c>
      <c r="C1919" s="84" t="s">
        <v>90</v>
      </c>
      <c r="D1919" s="86">
        <v>68.671227943824277</v>
      </c>
    </row>
    <row r="1920" spans="1:4" x14ac:dyDescent="0.35">
      <c r="A1920" s="85">
        <v>46227</v>
      </c>
      <c r="B1920" s="84" t="s">
        <v>37</v>
      </c>
      <c r="C1920" s="84" t="s">
        <v>91</v>
      </c>
      <c r="D1920" s="86">
        <v>66.096029630967976</v>
      </c>
    </row>
    <row r="1921" spans="1:4" x14ac:dyDescent="0.35">
      <c r="A1921" s="85">
        <v>46227</v>
      </c>
      <c r="B1921" s="84" t="s">
        <v>37</v>
      </c>
      <c r="C1921" s="84" t="s">
        <v>92</v>
      </c>
      <c r="D1921" s="86">
        <v>83.079416531604537</v>
      </c>
    </row>
    <row r="1922" spans="1:4" x14ac:dyDescent="0.35">
      <c r="A1922" s="85">
        <v>46227</v>
      </c>
      <c r="B1922" s="84" t="s">
        <v>35</v>
      </c>
      <c r="C1922" s="84" t="s">
        <v>115</v>
      </c>
      <c r="D1922" s="86">
        <v>89.189189189189193</v>
      </c>
    </row>
    <row r="1923" spans="1:4" x14ac:dyDescent="0.35">
      <c r="A1923" s="85">
        <v>46227</v>
      </c>
      <c r="B1923" s="84" t="s">
        <v>35</v>
      </c>
      <c r="C1923" s="84" t="s">
        <v>93</v>
      </c>
      <c r="D1923" s="86">
        <v>96.742131419105462</v>
      </c>
    </row>
    <row r="1924" spans="1:4" x14ac:dyDescent="0.35">
      <c r="A1924" s="85">
        <v>46227</v>
      </c>
      <c r="B1924" s="84" t="s">
        <v>35</v>
      </c>
      <c r="C1924" s="84" t="s">
        <v>94</v>
      </c>
      <c r="D1924" s="86">
        <v>99.659318637274552</v>
      </c>
    </row>
    <row r="1925" spans="1:4" x14ac:dyDescent="0.35">
      <c r="A1925" s="85">
        <v>46227</v>
      </c>
      <c r="B1925" s="84" t="s">
        <v>76</v>
      </c>
      <c r="C1925" s="84" t="s">
        <v>95</v>
      </c>
      <c r="D1925" s="86">
        <v>44.40139933282898</v>
      </c>
    </row>
    <row r="1926" spans="1:4" x14ac:dyDescent="0.35">
      <c r="A1926" s="85">
        <v>46227</v>
      </c>
      <c r="B1926" s="84" t="s">
        <v>76</v>
      </c>
      <c r="C1926" s="84" t="s">
        <v>96</v>
      </c>
      <c r="D1926" s="86">
        <v>87.839595375722539</v>
      </c>
    </row>
    <row r="1927" spans="1:4" x14ac:dyDescent="0.35">
      <c r="A1927" s="85">
        <v>46227</v>
      </c>
      <c r="B1927" s="84" t="s">
        <v>76</v>
      </c>
      <c r="C1927" s="84" t="s">
        <v>97</v>
      </c>
      <c r="D1927" s="86">
        <v>81.3188302425107</v>
      </c>
    </row>
    <row r="1928" spans="1:4" x14ac:dyDescent="0.35">
      <c r="A1928" s="85">
        <v>46227</v>
      </c>
      <c r="B1928" s="84" t="s">
        <v>76</v>
      </c>
      <c r="C1928" s="84" t="s">
        <v>98</v>
      </c>
      <c r="D1928" s="86">
        <v>46.337308347529813</v>
      </c>
    </row>
    <row r="1929" spans="1:4" x14ac:dyDescent="0.35">
      <c r="A1929" s="85">
        <v>46227</v>
      </c>
      <c r="B1929" s="84" t="s">
        <v>17</v>
      </c>
      <c r="C1929" s="84" t="s">
        <v>99</v>
      </c>
      <c r="D1929" s="86">
        <v>69.919642857142861</v>
      </c>
    </row>
    <row r="1930" spans="1:4" x14ac:dyDescent="0.35">
      <c r="A1930" s="85">
        <v>46227</v>
      </c>
      <c r="B1930" s="84" t="s">
        <v>27</v>
      </c>
      <c r="C1930" s="84" t="s">
        <v>100</v>
      </c>
      <c r="D1930" s="86">
        <v>91.428571428571431</v>
      </c>
    </row>
    <row r="1931" spans="1:4" x14ac:dyDescent="0.35">
      <c r="A1931" s="85">
        <v>46227</v>
      </c>
      <c r="B1931" s="84" t="s">
        <v>76</v>
      </c>
      <c r="C1931" s="84" t="s">
        <v>101</v>
      </c>
      <c r="D1931" s="86">
        <v>28.74617737003058</v>
      </c>
    </row>
    <row r="1932" spans="1:4" x14ac:dyDescent="0.35">
      <c r="A1932" s="85">
        <v>46227</v>
      </c>
      <c r="B1932" s="84" t="s">
        <v>64</v>
      </c>
      <c r="C1932" s="84" t="s">
        <v>102</v>
      </c>
      <c r="D1932" s="86">
        <v>67.806155861165678</v>
      </c>
    </row>
    <row r="1933" spans="1:4" x14ac:dyDescent="0.35">
      <c r="A1933" s="85">
        <v>46227</v>
      </c>
      <c r="B1933" s="84" t="s">
        <v>35</v>
      </c>
      <c r="C1933" s="84" t="s">
        <v>103</v>
      </c>
      <c r="D1933" s="86">
        <v>57.164809834805993</v>
      </c>
    </row>
    <row r="1934" spans="1:4" x14ac:dyDescent="0.35">
      <c r="A1934" s="85">
        <v>46227</v>
      </c>
      <c r="B1934" s="84" t="s">
        <v>4</v>
      </c>
      <c r="C1934" s="84" t="s">
        <v>104</v>
      </c>
      <c r="D1934" s="86">
        <v>58.393157171223464</v>
      </c>
    </row>
    <row r="1935" spans="1:4" x14ac:dyDescent="0.35">
      <c r="A1935" s="85">
        <v>46227</v>
      </c>
      <c r="B1935" s="84" t="s">
        <v>41</v>
      </c>
      <c r="C1935" s="84" t="s">
        <v>105</v>
      </c>
      <c r="D1935" s="86">
        <v>56.050955414012741</v>
      </c>
    </row>
    <row r="1936" spans="1:4" x14ac:dyDescent="0.35">
      <c r="A1936" s="85">
        <v>46227</v>
      </c>
      <c r="B1936" s="84" t="s">
        <v>37</v>
      </c>
      <c r="C1936" s="84" t="s">
        <v>106</v>
      </c>
      <c r="D1936" s="86">
        <v>33.274398868458277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X95"/>
  <sheetViews>
    <sheetView topLeftCell="J4" zoomScale="80" zoomScaleNormal="80" workbookViewId="0">
      <selection activeCell="W30" sqref="W30"/>
    </sheetView>
  </sheetViews>
  <sheetFormatPr defaultRowHeight="14.5" x14ac:dyDescent="0.35"/>
  <cols>
    <col min="1" max="1" width="23.81640625" bestFit="1" customWidth="1"/>
    <col min="2" max="23" width="12.26953125" bestFit="1" customWidth="1"/>
    <col min="24" max="24" width="14.54296875" bestFit="1" customWidth="1"/>
  </cols>
  <sheetData>
    <row r="3" spans="1:24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4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19">
        <v>46226</v>
      </c>
      <c r="W4" s="19">
        <v>46227</v>
      </c>
      <c r="X4" s="20" t="s">
        <v>112</v>
      </c>
    </row>
    <row r="5" spans="1:24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70.042410714285708</v>
      </c>
      <c r="W5" s="16">
        <v>69.919642857142861</v>
      </c>
      <c r="X5" s="16">
        <v>71.250202922077932</v>
      </c>
    </row>
    <row r="6" spans="1:24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>
        <v>1.0687250254399245</v>
      </c>
    </row>
    <row r="7" spans="1:24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58.876811594202898</v>
      </c>
      <c r="W7" s="16">
        <v>58.695652173913047</v>
      </c>
      <c r="X7" s="16">
        <v>67.926548089591577</v>
      </c>
    </row>
    <row r="8" spans="1:24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55.44563319754689</v>
      </c>
      <c r="W8" s="16">
        <v>54.49214378441291</v>
      </c>
      <c r="X8" s="16">
        <v>64.8844865685369</v>
      </c>
    </row>
    <row r="9" spans="1:24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38.871951219512198</v>
      </c>
      <c r="W9" s="16">
        <v>38.871951219512198</v>
      </c>
      <c r="X9" s="16">
        <v>58.654379157427954</v>
      </c>
    </row>
    <row r="10" spans="1:24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68.251473477406677</v>
      </c>
      <c r="W10" s="16">
        <v>67.806155861165678</v>
      </c>
      <c r="X10" s="16">
        <v>73.664344823480391</v>
      </c>
    </row>
    <row r="11" spans="1:24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94.764203490531003</v>
      </c>
      <c r="W11" s="16">
        <v>94.504270330486449</v>
      </c>
      <c r="X11" s="16">
        <v>95.60476656651926</v>
      </c>
    </row>
    <row r="12" spans="1:24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92.846639668305855</v>
      </c>
      <c r="W12" s="16">
        <v>92.524828849676979</v>
      </c>
      <c r="X12" s="16">
        <v>96.788575661153033</v>
      </c>
    </row>
    <row r="13" spans="1:24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36.403872752420469</v>
      </c>
      <c r="W13" s="16">
        <v>36.504149377593365</v>
      </c>
      <c r="X13" s="16">
        <v>38.39569973594871</v>
      </c>
    </row>
    <row r="14" spans="1:24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56.468262683944651</v>
      </c>
      <c r="W14" s="16">
        <v>56.050955414012741</v>
      </c>
      <c r="X14" s="16">
        <v>62.102909170776506</v>
      </c>
    </row>
    <row r="15" spans="1:24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72.099507927829421</v>
      </c>
      <c r="W15" s="16">
        <v>71.908146528157459</v>
      </c>
      <c r="X15" s="16">
        <v>78.014770449160835</v>
      </c>
    </row>
    <row r="16" spans="1:24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85.329670329670336</v>
      </c>
      <c r="W16" s="16">
        <v>84.57692307692308</v>
      </c>
      <c r="X16" s="16">
        <v>92.9130869130869</v>
      </c>
    </row>
    <row r="17" spans="1:24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83.378787878787875</v>
      </c>
      <c r="W17" s="16">
        <v>78.090909090909093</v>
      </c>
      <c r="X17" s="16">
        <v>75.318181818181813</v>
      </c>
    </row>
    <row r="18" spans="1:24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62.911992598589109</v>
      </c>
      <c r="W18" s="16">
        <v>62.090898577541346</v>
      </c>
      <c r="X18" s="16">
        <v>75.060189030352092</v>
      </c>
    </row>
    <row r="19" spans="1:24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95.163816734107826</v>
      </c>
      <c r="W19" s="16">
        <v>95.033285471870514</v>
      </c>
      <c r="X19" s="16">
        <v>91.450795647375742</v>
      </c>
    </row>
    <row r="20" spans="1:24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91.271523178807954</v>
      </c>
      <c r="W20" s="16">
        <v>91.370860927152322</v>
      </c>
      <c r="X20" s="16">
        <v>90.163305237808558</v>
      </c>
    </row>
    <row r="21" spans="1:24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84.246353322528364</v>
      </c>
      <c r="W21" s="16">
        <v>83.079416531604537</v>
      </c>
      <c r="X21" s="16">
        <v>92.065713864741426</v>
      </c>
    </row>
    <row r="22" spans="1:24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81.581312410841662</v>
      </c>
      <c r="W22" s="16">
        <v>81.3188302425107</v>
      </c>
      <c r="X22" s="16">
        <v>78.784885228893799</v>
      </c>
    </row>
    <row r="23" spans="1:24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91.482239166821643</v>
      </c>
      <c r="W23" s="16">
        <v>91.166077738515895</v>
      </c>
      <c r="X23" s="16">
        <v>96.443606607266645</v>
      </c>
    </row>
    <row r="24" spans="1:24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72.930705657978379</v>
      </c>
      <c r="W24" s="16">
        <v>70.845518118245394</v>
      </c>
      <c r="X24" s="16">
        <v>75.181760388371956</v>
      </c>
    </row>
    <row r="25" spans="1:24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99.11651021535063</v>
      </c>
      <c r="W25" s="16">
        <v>96.742131419105462</v>
      </c>
      <c r="X25" s="16">
        <v>95.873701119421725</v>
      </c>
    </row>
    <row r="26" spans="1:24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  <c r="W26" s="16">
        <v>99.803664921465966</v>
      </c>
      <c r="X26" s="16">
        <v>99.803664921465966</v>
      </c>
    </row>
    <row r="27" spans="1:24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89.419846907869371</v>
      </c>
      <c r="W27" s="16">
        <v>88.193182443967174</v>
      </c>
      <c r="X27" s="16">
        <v>92.394705355220808</v>
      </c>
    </row>
    <row r="28" spans="1:24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65.873015873015873</v>
      </c>
      <c r="W28" s="16">
        <v>65.204678362573105</v>
      </c>
      <c r="X28" s="16">
        <v>74.264259132680181</v>
      </c>
    </row>
    <row r="29" spans="1:24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95.376787921596332</v>
      </c>
      <c r="W29" s="16">
        <v>95.202410383189118</v>
      </c>
      <c r="X29" s="16">
        <v>97.186882956351425</v>
      </c>
    </row>
    <row r="30" spans="1:24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70</v>
      </c>
      <c r="W30" s="16">
        <v>74.20289855072464</v>
      </c>
      <c r="X30" s="16">
        <v>76.093544137022391</v>
      </c>
    </row>
    <row r="31" spans="1:24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73.264093366882591</v>
      </c>
      <c r="W31" s="16">
        <v>71.893570319610262</v>
      </c>
      <c r="X31" s="16">
        <v>83.74547985340854</v>
      </c>
    </row>
    <row r="32" spans="1:24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61.35143769968051</v>
      </c>
      <c r="W32" s="16">
        <v>61.146964856230035</v>
      </c>
      <c r="X32" s="16">
        <v>66.714493174557063</v>
      </c>
    </row>
    <row r="33" spans="1:24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61.717850789996859</v>
      </c>
      <c r="W33" s="16">
        <v>60.954012765512189</v>
      </c>
      <c r="X33" s="16">
        <v>73.413347665204938</v>
      </c>
    </row>
    <row r="34" spans="1:24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78.886625933469105</v>
      </c>
      <c r="W34" s="16">
        <v>78.524553066304591</v>
      </c>
      <c r="X34" s="16">
        <v>73.901952313357597</v>
      </c>
    </row>
    <row r="35" spans="1:24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53.723404255319146</v>
      </c>
      <c r="W35" s="16">
        <v>54.787234042553195</v>
      </c>
      <c r="X35" s="16">
        <v>31.724924012158056</v>
      </c>
    </row>
    <row r="36" spans="1:24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90.956850177406437</v>
      </c>
      <c r="W36" s="16">
        <v>90.618061119377359</v>
      </c>
      <c r="X36" s="16">
        <v>93.251792273195491</v>
      </c>
    </row>
    <row r="37" spans="1:24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73.793103448275858</v>
      </c>
      <c r="W37" s="16">
        <v>72.41379310344827</v>
      </c>
      <c r="X37" s="16">
        <v>86.166592028661</v>
      </c>
    </row>
    <row r="38" spans="1:24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49.241087186727853</v>
      </c>
      <c r="W38" s="16">
        <v>55.630074126367809</v>
      </c>
      <c r="X38" s="16">
        <v>46.12039919134871</v>
      </c>
    </row>
    <row r="39" spans="1:24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58.393157171223464</v>
      </c>
      <c r="W39" s="16">
        <v>58.393157171223464</v>
      </c>
      <c r="X39" s="16">
        <v>48.815557437827174</v>
      </c>
    </row>
    <row r="40" spans="1:24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66.096029630967976</v>
      </c>
      <c r="W40" s="16">
        <v>66.096029630967976</v>
      </c>
      <c r="X40" s="16">
        <v>68.237458372514155</v>
      </c>
    </row>
    <row r="41" spans="1:24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  <c r="W41" s="16">
        <v>84.099982641902443</v>
      </c>
      <c r="X41" s="16">
        <v>84.099982641902443</v>
      </c>
    </row>
    <row r="42" spans="1:24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51.902834008097166</v>
      </c>
      <c r="W42" s="16">
        <v>47.004048582995949</v>
      </c>
      <c r="X42" s="16">
        <v>70.034965034965055</v>
      </c>
    </row>
    <row r="43" spans="1:24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</v>
      </c>
      <c r="W43" s="16">
        <v>99.659318637274552</v>
      </c>
      <c r="X43" s="16">
        <v>100.00182182546909</v>
      </c>
    </row>
    <row r="44" spans="1:24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46.434655633974202</v>
      </c>
      <c r="W44" s="16">
        <v>46.337308347529813</v>
      </c>
      <c r="X44" s="16">
        <v>48.038673421978359</v>
      </c>
    </row>
    <row r="45" spans="1:24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93.790163934426232</v>
      </c>
      <c r="W45" s="16">
        <v>93.678688524590157</v>
      </c>
      <c r="X45" s="16">
        <v>95.814307004470933</v>
      </c>
    </row>
    <row r="46" spans="1:24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32.708628005657708</v>
      </c>
      <c r="W46" s="16">
        <v>33.274398868458277</v>
      </c>
      <c r="X46" s="16">
        <v>30.522695126655524</v>
      </c>
    </row>
    <row r="47" spans="1:24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26.647564469914041</v>
      </c>
      <c r="W47" s="16">
        <v>25.501432664756447</v>
      </c>
      <c r="X47" s="16">
        <v>21.646262047408175</v>
      </c>
    </row>
    <row r="48" spans="1:24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74.442372516675036</v>
      </c>
      <c r="W48" s="16">
        <v>73.977981782973529</v>
      </c>
      <c r="X48" s="16">
        <v>81.380523299407301</v>
      </c>
    </row>
    <row r="49" spans="1:24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78.942757009345797</v>
      </c>
      <c r="W49" s="16">
        <v>78.066588785046733</v>
      </c>
      <c r="X49" s="16">
        <v>89.707109479305728</v>
      </c>
    </row>
    <row r="50" spans="1:24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44.40139933282898</v>
      </c>
      <c r="W50" s="16">
        <v>44.40139933282898</v>
      </c>
      <c r="X50" s="16">
        <v>44.074368290036155</v>
      </c>
    </row>
    <row r="51" spans="1:24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87.727554179566567</v>
      </c>
      <c r="W51" s="16">
        <v>87.256965944272451</v>
      </c>
      <c r="X51" s="16">
        <v>91.362510554461039</v>
      </c>
    </row>
    <row r="52" spans="1:24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87.939565294221595</v>
      </c>
      <c r="W52" s="16">
        <v>87.789362078105668</v>
      </c>
      <c r="X52" s="16">
        <v>86.130700894793478</v>
      </c>
    </row>
    <row r="53" spans="1:24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54.845328282828284</v>
      </c>
      <c r="W53" s="16">
        <v>54.765286796536799</v>
      </c>
      <c r="X53" s="16">
        <v>56.697555916305916</v>
      </c>
    </row>
    <row r="54" spans="1:24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86.706349206349202</v>
      </c>
      <c r="W54" s="16">
        <v>79.563492063492063</v>
      </c>
      <c r="X54" s="16">
        <v>61.778499278499275</v>
      </c>
    </row>
    <row r="55" spans="1:24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50.81799591002045</v>
      </c>
      <c r="W55" s="16">
        <v>49.591002044989779</v>
      </c>
      <c r="X55" s="16">
        <v>50.543781372002236</v>
      </c>
    </row>
    <row r="56" spans="1:24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25.28032619775739</v>
      </c>
      <c r="W56" s="16">
        <v>28.74617737003058</v>
      </c>
      <c r="X56" s="16">
        <v>21.198220739505143</v>
      </c>
    </row>
    <row r="57" spans="1:24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74.648588132852339</v>
      </c>
      <c r="W57" s="16">
        <v>74.026620226396318</v>
      </c>
      <c r="X57" s="16">
        <v>84.074229042508691</v>
      </c>
    </row>
    <row r="58" spans="1:24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73.015873015873012</v>
      </c>
      <c r="W58" s="16">
        <v>53.439153439153436</v>
      </c>
      <c r="X58" s="16">
        <v>57.744107744107744</v>
      </c>
    </row>
    <row r="59" spans="1:24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54.350954359099674</v>
      </c>
      <c r="W59" s="16">
        <v>53.653172599169181</v>
      </c>
      <c r="X59" s="16">
        <v>65.983324324124183</v>
      </c>
    </row>
    <row r="60" spans="1:24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96.30211058782487</v>
      </c>
      <c r="W60" s="16">
        <v>96.30211058782487</v>
      </c>
      <c r="X60" s="16">
        <v>96.901511187225438</v>
      </c>
    </row>
    <row r="61" spans="1:24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56.606606606606604</v>
      </c>
      <c r="W61" s="16">
        <v>36.036036036036037</v>
      </c>
      <c r="X61" s="16">
        <v>43.236418236418245</v>
      </c>
    </row>
    <row r="62" spans="1:24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89.709269690107035</v>
      </c>
      <c r="W62" s="16">
        <v>89.460542361070779</v>
      </c>
      <c r="X62" s="16">
        <v>92.266665258942126</v>
      </c>
    </row>
    <row r="63" spans="1:24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1.6042780748663101</v>
      </c>
      <c r="W63" s="16">
        <v>1.6399286987522281</v>
      </c>
      <c r="X63" s="16">
        <v>1.7784799870361363</v>
      </c>
    </row>
    <row r="64" spans="1:24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82.22309556559901</v>
      </c>
      <c r="W64" s="16">
        <v>82.039693456474751</v>
      </c>
      <c r="X64" s="16">
        <v>84.7496382572036</v>
      </c>
    </row>
    <row r="65" spans="1:24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35.732430143945805</v>
      </c>
      <c r="W65" s="16">
        <v>38.590177815410669</v>
      </c>
      <c r="X65" s="16">
        <v>48.140058502039885</v>
      </c>
    </row>
    <row r="66" spans="1:24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86.352067868504776</v>
      </c>
      <c r="W66" s="16">
        <v>86.352067868504776</v>
      </c>
      <c r="X66" s="16">
        <v>86.815530704714121</v>
      </c>
    </row>
    <row r="67" spans="1:24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93.680646981380477</v>
      </c>
      <c r="W67" s="16">
        <v>93.342110212525867</v>
      </c>
      <c r="X67" s="16">
        <v>93.290816762699393</v>
      </c>
    </row>
    <row r="68" spans="1:24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90.724832214765101</v>
      </c>
      <c r="W68" s="16">
        <v>93.127516778523486</v>
      </c>
      <c r="X68" s="16">
        <v>93.018913971934111</v>
      </c>
    </row>
    <row r="69" spans="1:24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71.905817174515235</v>
      </c>
      <c r="W69" s="16">
        <v>71.529085872576175</v>
      </c>
      <c r="X69" s="16">
        <v>77.009821203727</v>
      </c>
    </row>
    <row r="70" spans="1:24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65.271044513001328</v>
      </c>
      <c r="W70" s="16">
        <v>59.277214631996472</v>
      </c>
      <c r="X70" s="16">
        <v>43.623542609880197</v>
      </c>
    </row>
    <row r="71" spans="1:24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91.208524226016934</v>
      </c>
      <c r="W71" s="16">
        <v>91.061363320838538</v>
      </c>
      <c r="X71" s="16">
        <v>93.318030366135318</v>
      </c>
    </row>
    <row r="72" spans="1:24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80.661985957873625</v>
      </c>
      <c r="W72" s="16">
        <v>80.661985957873625</v>
      </c>
      <c r="X72" s="16">
        <v>81.540986596152109</v>
      </c>
    </row>
    <row r="73" spans="1:24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36.325710754017308</v>
      </c>
      <c r="W73" s="16">
        <v>34.942830655129789</v>
      </c>
      <c r="X73" s="16">
        <v>55.06552702550848</v>
      </c>
    </row>
    <row r="74" spans="1:24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70.867842996038888</v>
      </c>
      <c r="W74" s="16">
        <v>68.671227943824277</v>
      </c>
      <c r="X74" s="16">
        <v>74.67945570214205</v>
      </c>
    </row>
    <row r="75" spans="1:24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93.046092947132038</v>
      </c>
      <c r="W75" s="16">
        <v>92.692117382864538</v>
      </c>
      <c r="X75" s="16">
        <v>96.571834894447477</v>
      </c>
    </row>
    <row r="76" spans="1:24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65.923933922397239</v>
      </c>
      <c r="W76" s="16">
        <v>57.164809834805993</v>
      </c>
      <c r="X76" s="16">
        <v>63.510634582474765</v>
      </c>
    </row>
    <row r="77" spans="1:24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69.362682364985929</v>
      </c>
      <c r="W77" s="16">
        <v>71.435884310212444</v>
      </c>
      <c r="X77" s="16">
        <v>76.466482071805856</v>
      </c>
    </row>
    <row r="78" spans="1:24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38.713109704877638</v>
      </c>
      <c r="W78" s="16">
        <v>38.505908047264377</v>
      </c>
      <c r="X78" s="16">
        <v>42.320302198781228</v>
      </c>
    </row>
    <row r="79" spans="1:24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74.557967565984555</v>
      </c>
      <c r="W79" s="16">
        <v>74.304157362326265</v>
      </c>
      <c r="X79" s="16">
        <v>76.67325597003088</v>
      </c>
    </row>
    <row r="80" spans="1:24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75.707982350581631</v>
      </c>
      <c r="W80" s="16">
        <v>75.650488033159519</v>
      </c>
      <c r="X80" s="16">
        <v>78.851876162345491</v>
      </c>
    </row>
    <row r="81" spans="1:24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94.347240915208616</v>
      </c>
      <c r="W81" s="16">
        <v>94.347240915208616</v>
      </c>
      <c r="X81" s="16">
        <v>93.392878991802306</v>
      </c>
    </row>
    <row r="82" spans="1:24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75.540123456790127</v>
      </c>
      <c r="W82" s="16">
        <v>75.848765432098759</v>
      </c>
      <c r="X82" s="16">
        <v>68.932379349046016</v>
      </c>
    </row>
    <row r="83" spans="1:24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76.551226551226549</v>
      </c>
      <c r="W83" s="16">
        <v>75.649350649350652</v>
      </c>
      <c r="X83" s="16">
        <v>85.028040141676513</v>
      </c>
    </row>
    <row r="84" spans="1:24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77.543475284129812</v>
      </c>
      <c r="W84" s="16">
        <v>75.653840887306586</v>
      </c>
      <c r="X84" s="16">
        <v>89.903900016182646</v>
      </c>
    </row>
    <row r="85" spans="1:24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80.170378733449652</v>
      </c>
      <c r="W85" s="16">
        <v>79.144000821102324</v>
      </c>
      <c r="X85" s="16">
        <v>90.512069271178362</v>
      </c>
    </row>
    <row r="86" spans="1:24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88.038053949903656</v>
      </c>
      <c r="W86" s="16">
        <v>87.839595375722539</v>
      </c>
      <c r="X86" s="16">
        <v>91.029514801191127</v>
      </c>
    </row>
    <row r="87" spans="1:24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91.428571428571431</v>
      </c>
      <c r="W87" s="16">
        <v>91.428571428571431</v>
      </c>
      <c r="X87" s="16">
        <v>93.435655253837055</v>
      </c>
    </row>
    <row r="88" spans="1:24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94.282291077312209</v>
      </c>
      <c r="W88" s="16">
        <v>94.045994608446762</v>
      </c>
      <c r="X88" s="16">
        <v>96.704102965959407</v>
      </c>
    </row>
    <row r="89" spans="1:24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0</v>
      </c>
      <c r="W89" s="16">
        <v>0</v>
      </c>
      <c r="X89" s="16">
        <v>9.6457076114463725</v>
      </c>
    </row>
    <row r="90" spans="1:24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74.214365881032549</v>
      </c>
      <c r="W90" s="16">
        <v>73.197250280583617</v>
      </c>
      <c r="X90" s="16">
        <v>87.324635241301905</v>
      </c>
    </row>
    <row r="91" spans="1:24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97.353320060897062</v>
      </c>
      <c r="W91" s="16">
        <v>96.955146972713436</v>
      </c>
      <c r="X91" s="16">
        <v>98.90409945698066</v>
      </c>
    </row>
    <row r="92" spans="1:24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78.2780410742496</v>
      </c>
      <c r="W92" s="16">
        <v>78.199052132701425</v>
      </c>
      <c r="X92" s="16">
        <v>86.856240126382275</v>
      </c>
    </row>
    <row r="93" spans="1:24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68.914956011730212</v>
      </c>
      <c r="W93" s="16">
        <v>78.005865102639291</v>
      </c>
      <c r="X93" s="16">
        <v>87.609970674486803</v>
      </c>
    </row>
    <row r="94" spans="1:24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77.477477477477478</v>
      </c>
      <c r="W94" s="16">
        <v>89.189189189189193</v>
      </c>
      <c r="X94" s="16">
        <v>82.175032175032172</v>
      </c>
    </row>
    <row r="95" spans="1:24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71.3338323567164</v>
      </c>
      <c r="W95" s="16">
        <v>70.626747574697731</v>
      </c>
      <c r="X95" s="16">
        <v>73.833195681491574</v>
      </c>
    </row>
  </sheetData>
  <conditionalFormatting pivot="1" sqref="B5:C9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5:V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5:W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668"/>
  <sheetViews>
    <sheetView tabSelected="1" topLeftCell="H638" zoomScale="70" zoomScaleNormal="70" workbookViewId="0">
      <selection activeCell="I604" sqref="I604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16" x14ac:dyDescent="0.35">
      <c r="A578" s="13" t="s">
        <v>111</v>
      </c>
      <c r="B578" s="14">
        <v>46224</v>
      </c>
      <c r="C578" s="14">
        <v>46225</v>
      </c>
      <c r="D578" s="14" t="s">
        <v>110</v>
      </c>
      <c r="G578" s="13" t="s">
        <v>111</v>
      </c>
      <c r="H578" s="14">
        <v>46225</v>
      </c>
      <c r="I578" s="14">
        <v>46226</v>
      </c>
      <c r="J578" s="14" t="s">
        <v>110</v>
      </c>
      <c r="M578" s="13" t="s">
        <v>111</v>
      </c>
      <c r="N578" s="14">
        <v>46226</v>
      </c>
      <c r="O578" s="14">
        <v>46227</v>
      </c>
      <c r="P578" s="14" t="s">
        <v>110</v>
      </c>
    </row>
    <row r="579" spans="1:16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  <c r="G579" s="15" t="s">
        <v>99</v>
      </c>
      <c r="H579" s="16">
        <v>70.165178571428569</v>
      </c>
      <c r="I579" s="16">
        <v>70.042410714285708</v>
      </c>
      <c r="J579" s="29">
        <f>(I579-H579)/H579</f>
        <v>-1.7496977794745124E-3</v>
      </c>
      <c r="M579" s="15" t="s">
        <v>99</v>
      </c>
      <c r="N579" s="16">
        <v>70.042410714285708</v>
      </c>
      <c r="O579" s="16">
        <v>69.919642857142861</v>
      </c>
      <c r="P579" s="29">
        <f>(O579-N579)/N579</f>
        <v>-1.7527645877814927E-3</v>
      </c>
    </row>
    <row r="580" spans="1:16" x14ac:dyDescent="0.35">
      <c r="A580" s="15" t="s">
        <v>58</v>
      </c>
      <c r="B580" s="16"/>
      <c r="C580" s="16"/>
      <c r="D580" s="29" t="e">
        <f t="shared" ref="D580:D642" si="40">(C580-B580)/B580</f>
        <v>#DIV/0!</v>
      </c>
      <c r="G580" s="15" t="s">
        <v>58</v>
      </c>
      <c r="H580" s="16"/>
      <c r="I580" s="16"/>
      <c r="J580" s="29" t="e">
        <f t="shared" ref="J580:J643" si="41">(I580-H580)/H580</f>
        <v>#DIV/0!</v>
      </c>
      <c r="M580" s="15" t="s">
        <v>58</v>
      </c>
      <c r="N580" s="16"/>
      <c r="O580" s="16"/>
      <c r="P580" s="29" t="e">
        <f t="shared" ref="P580:P643" si="42">(O580-N580)/N580</f>
        <v>#DIV/0!</v>
      </c>
    </row>
    <row r="581" spans="1:16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  <c r="G581" s="15" t="s">
        <v>62</v>
      </c>
      <c r="H581" s="16">
        <v>55.253623188405797</v>
      </c>
      <c r="I581" s="16">
        <v>58.876811594202898</v>
      </c>
      <c r="J581" s="29">
        <f t="shared" si="41"/>
        <v>6.5573770491803282E-2</v>
      </c>
      <c r="M581" s="15" t="s">
        <v>62</v>
      </c>
      <c r="N581" s="16">
        <v>58.876811594202898</v>
      </c>
      <c r="O581" s="16">
        <v>58.695652173913047</v>
      </c>
      <c r="P581" s="29">
        <f t="shared" si="42"/>
        <v>-3.0769230769230227E-3</v>
      </c>
    </row>
    <row r="582" spans="1:16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  <c r="G582" s="15" t="s">
        <v>89</v>
      </c>
      <c r="H582" s="16">
        <v>56.179775280898873</v>
      </c>
      <c r="I582" s="16">
        <v>55.44563319754689</v>
      </c>
      <c r="J582" s="29">
        <f t="shared" si="41"/>
        <v>-1.3067729083665306E-2</v>
      </c>
      <c r="M582" s="15" t="s">
        <v>89</v>
      </c>
      <c r="N582" s="16">
        <v>55.44563319754689</v>
      </c>
      <c r="O582" s="16">
        <v>54.49214378441291</v>
      </c>
      <c r="P582" s="29">
        <f t="shared" si="42"/>
        <v>-1.7196835136444353E-2</v>
      </c>
    </row>
    <row r="583" spans="1:16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  <c r="G583" s="15" t="s">
        <v>45</v>
      </c>
      <c r="H583" s="16">
        <v>40.701219512195124</v>
      </c>
      <c r="I583" s="16">
        <v>38.871951219512198</v>
      </c>
      <c r="J583" s="29">
        <f t="shared" si="41"/>
        <v>-4.4943820224719072E-2</v>
      </c>
      <c r="M583" s="15" t="s">
        <v>45</v>
      </c>
      <c r="N583" s="16">
        <v>38.871951219512198</v>
      </c>
      <c r="O583" s="16">
        <v>38.871951219512198</v>
      </c>
      <c r="P583" s="29">
        <f t="shared" si="42"/>
        <v>0</v>
      </c>
    </row>
    <row r="584" spans="1:16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  <c r="G584" s="15" t="s">
        <v>102</v>
      </c>
      <c r="H584" s="16">
        <v>68.631303208906346</v>
      </c>
      <c r="I584" s="16">
        <v>68.251473477406677</v>
      </c>
      <c r="J584" s="29">
        <f t="shared" si="41"/>
        <v>-5.5343511450381142E-3</v>
      </c>
      <c r="M584" s="15" t="s">
        <v>102</v>
      </c>
      <c r="N584" s="16">
        <v>68.251473477406677</v>
      </c>
      <c r="O584" s="16">
        <v>67.806155861165678</v>
      </c>
      <c r="P584" s="29">
        <f t="shared" si="42"/>
        <v>-6.5246593744003574E-3</v>
      </c>
    </row>
    <row r="585" spans="1:16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  <c r="G585" s="15" t="s">
        <v>6</v>
      </c>
      <c r="H585" s="16">
        <v>95.246936502042331</v>
      </c>
      <c r="I585" s="16">
        <v>94.764203490531003</v>
      </c>
      <c r="J585" s="29">
        <f t="shared" si="41"/>
        <v>-5.0682261208577287E-3</v>
      </c>
      <c r="M585" s="15" t="s">
        <v>6</v>
      </c>
      <c r="N585" s="16">
        <v>94.764203490531003</v>
      </c>
      <c r="O585" s="16">
        <v>94.504270330486449</v>
      </c>
      <c r="P585" s="29">
        <f t="shared" si="42"/>
        <v>-2.7429467084638848E-3</v>
      </c>
    </row>
    <row r="586" spans="1:16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  <c r="G586" s="15" t="s">
        <v>74</v>
      </c>
      <c r="H586" s="16">
        <v>93.247999228618269</v>
      </c>
      <c r="I586" s="16">
        <v>92.846639668305855</v>
      </c>
      <c r="J586" s="29">
        <f t="shared" si="41"/>
        <v>-4.3042163224155834E-3</v>
      </c>
      <c r="M586" s="15" t="s">
        <v>74</v>
      </c>
      <c r="N586" s="16">
        <v>92.846639668305855</v>
      </c>
      <c r="O586" s="16">
        <v>92.524828849676979</v>
      </c>
      <c r="P586" s="29">
        <f t="shared" si="42"/>
        <v>-3.4660470188101955E-3</v>
      </c>
    </row>
    <row r="587" spans="1:16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  <c r="G587" s="15" t="s">
        <v>77</v>
      </c>
      <c r="H587" s="16">
        <v>36.570885200553249</v>
      </c>
      <c r="I587" s="16">
        <v>36.403872752420469</v>
      </c>
      <c r="J587" s="29">
        <f t="shared" si="41"/>
        <v>-4.5668144814349143E-3</v>
      </c>
      <c r="M587" s="15" t="s">
        <v>77</v>
      </c>
      <c r="N587" s="16">
        <v>36.403872752420469</v>
      </c>
      <c r="O587" s="16">
        <v>36.504149377593365</v>
      </c>
      <c r="P587" s="29">
        <f t="shared" si="42"/>
        <v>2.7545592705168539E-3</v>
      </c>
    </row>
    <row r="588" spans="1:16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  <c r="G588" s="15" t="s">
        <v>105</v>
      </c>
      <c r="H588" s="16">
        <v>56.885569953876562</v>
      </c>
      <c r="I588" s="16">
        <v>56.468262683944651</v>
      </c>
      <c r="J588" s="29">
        <f t="shared" si="41"/>
        <v>-7.3359073359072951E-3</v>
      </c>
      <c r="M588" s="15" t="s">
        <v>105</v>
      </c>
      <c r="N588" s="16">
        <v>56.468262683944651</v>
      </c>
      <c r="O588" s="16">
        <v>56.050955414012741</v>
      </c>
      <c r="P588" s="29">
        <f t="shared" si="42"/>
        <v>-7.3901205756514562E-3</v>
      </c>
    </row>
    <row r="589" spans="1:16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  <c r="G589" s="15" t="s">
        <v>18</v>
      </c>
      <c r="H589" s="16">
        <v>72.585201385092034</v>
      </c>
      <c r="I589" s="16">
        <v>72.099507927829421</v>
      </c>
      <c r="J589" s="29">
        <f t="shared" si="41"/>
        <v>-6.6913564747974582E-3</v>
      </c>
      <c r="M589" s="15" t="s">
        <v>18</v>
      </c>
      <c r="N589" s="16">
        <v>72.099507927829421</v>
      </c>
      <c r="O589" s="16">
        <v>71.908146528157459</v>
      </c>
      <c r="P589" s="29">
        <f t="shared" si="42"/>
        <v>-2.6541290665050292E-3</v>
      </c>
    </row>
    <row r="590" spans="1:16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  <c r="G590" s="15" t="s">
        <v>9</v>
      </c>
      <c r="H590" s="16">
        <v>85.967032967032964</v>
      </c>
      <c r="I590" s="16">
        <v>85.329670329670336</v>
      </c>
      <c r="J590" s="29">
        <f t="shared" si="41"/>
        <v>-7.4140355362391861E-3</v>
      </c>
      <c r="M590" s="15" t="s">
        <v>9</v>
      </c>
      <c r="N590" s="16">
        <v>85.329670329670336</v>
      </c>
      <c r="O590" s="16">
        <v>84.57692307692308</v>
      </c>
      <c r="P590" s="29">
        <f t="shared" si="42"/>
        <v>-8.8216355441082077E-3</v>
      </c>
    </row>
    <row r="591" spans="1:16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  <c r="G591" s="15" t="s">
        <v>82</v>
      </c>
      <c r="H591" s="16">
        <v>88.151515151515156</v>
      </c>
      <c r="I591" s="16">
        <v>83.378787878787875</v>
      </c>
      <c r="J591" s="29">
        <f t="shared" si="41"/>
        <v>-5.4142316947404692E-2</v>
      </c>
      <c r="M591" s="15" t="s">
        <v>82</v>
      </c>
      <c r="N591" s="16">
        <v>83.378787878787875</v>
      </c>
      <c r="O591" s="16">
        <v>78.090909090909093</v>
      </c>
      <c r="P591" s="29">
        <f t="shared" si="42"/>
        <v>-6.3419952753043726E-2</v>
      </c>
    </row>
    <row r="592" spans="1:16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  <c r="G592" s="15" t="s">
        <v>54</v>
      </c>
      <c r="H592" s="16">
        <v>63.837168960333067</v>
      </c>
      <c r="I592" s="16">
        <v>62.911992598589109</v>
      </c>
      <c r="J592" s="29">
        <f t="shared" si="41"/>
        <v>-1.4492753623188413E-2</v>
      </c>
      <c r="M592" s="15" t="s">
        <v>54</v>
      </c>
      <c r="N592" s="16">
        <v>62.911992598589109</v>
      </c>
      <c r="O592" s="16">
        <v>62.090898577541346</v>
      </c>
      <c r="P592" s="29">
        <f t="shared" si="42"/>
        <v>-1.3051470588235307E-2</v>
      </c>
    </row>
    <row r="593" spans="1:16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  <c r="G593" s="15" t="s">
        <v>84</v>
      </c>
      <c r="H593" s="16">
        <v>95.229082365226475</v>
      </c>
      <c r="I593" s="16">
        <v>95.163816734107826</v>
      </c>
      <c r="J593" s="29">
        <f t="shared" si="41"/>
        <v>-6.8535398533338388E-4</v>
      </c>
      <c r="M593" s="15" t="s">
        <v>84</v>
      </c>
      <c r="N593" s="16">
        <v>95.163816734107826</v>
      </c>
      <c r="O593" s="16">
        <v>95.033285471870514</v>
      </c>
      <c r="P593" s="29">
        <f t="shared" si="42"/>
        <v>-1.371648035114257E-3</v>
      </c>
    </row>
    <row r="594" spans="1:16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  <c r="G594" s="15" t="s">
        <v>23</v>
      </c>
      <c r="H594" s="16">
        <v>91.13576158940397</v>
      </c>
      <c r="I594" s="16">
        <v>91.271523178807954</v>
      </c>
      <c r="J594" s="29">
        <f t="shared" si="41"/>
        <v>1.4896631907860018E-3</v>
      </c>
      <c r="M594" s="15" t="s">
        <v>23</v>
      </c>
      <c r="N594" s="16">
        <v>91.271523178807954</v>
      </c>
      <c r="O594" s="16">
        <v>91.370860927152322</v>
      </c>
      <c r="P594" s="29">
        <f t="shared" si="42"/>
        <v>1.088376142794919E-3</v>
      </c>
    </row>
    <row r="595" spans="1:16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  <c r="G595" s="15" t="s">
        <v>92</v>
      </c>
      <c r="H595" s="16">
        <v>85.348460291734199</v>
      </c>
      <c r="I595" s="16">
        <v>84.246353322528364</v>
      </c>
      <c r="J595" s="29">
        <f t="shared" si="41"/>
        <v>-1.2913026965438664E-2</v>
      </c>
      <c r="M595" s="15" t="s">
        <v>92</v>
      </c>
      <c r="N595" s="16">
        <v>84.246353322528364</v>
      </c>
      <c r="O595" s="16">
        <v>83.079416531604537</v>
      </c>
      <c r="P595" s="29">
        <f t="shared" si="42"/>
        <v>-1.3851481338976559E-2</v>
      </c>
    </row>
    <row r="596" spans="1:16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  <c r="G596" s="15" t="s">
        <v>97</v>
      </c>
      <c r="H596" s="16">
        <v>81.712553495007128</v>
      </c>
      <c r="I596" s="16">
        <v>81.581312410841662</v>
      </c>
      <c r="J596" s="29">
        <f t="shared" si="41"/>
        <v>-1.6061312313962379E-3</v>
      </c>
      <c r="M596" s="15" t="s">
        <v>97</v>
      </c>
      <c r="N596" s="16">
        <v>81.581312410841662</v>
      </c>
      <c r="O596" s="16">
        <v>81.3188302425107</v>
      </c>
      <c r="P596" s="29">
        <f t="shared" si="42"/>
        <v>-3.2174300777254921E-3</v>
      </c>
    </row>
    <row r="597" spans="1:16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  <c r="G597" s="15" t="s">
        <v>40</v>
      </c>
      <c r="H597" s="16">
        <v>91.8169983262042</v>
      </c>
      <c r="I597" s="16">
        <v>91.482239166821643</v>
      </c>
      <c r="J597" s="29">
        <f t="shared" si="41"/>
        <v>-3.6459388292485492E-3</v>
      </c>
      <c r="M597" s="15" t="s">
        <v>40</v>
      </c>
      <c r="N597" s="16">
        <v>91.482239166821643</v>
      </c>
      <c r="O597" s="16">
        <v>91.166077738515895</v>
      </c>
      <c r="P597" s="29">
        <f t="shared" si="42"/>
        <v>-3.4559869892254605E-3</v>
      </c>
    </row>
    <row r="598" spans="1:16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  <c r="G598" s="15" t="s">
        <v>61</v>
      </c>
      <c r="H598" s="16">
        <v>73.146853146853147</v>
      </c>
      <c r="I598" s="16">
        <v>72.930705657978379</v>
      </c>
      <c r="J598" s="29">
        <f t="shared" si="41"/>
        <v>-2.9549800104294237E-3</v>
      </c>
      <c r="M598" s="15" t="s">
        <v>61</v>
      </c>
      <c r="N598" s="16">
        <v>72.930705657978379</v>
      </c>
      <c r="O598" s="16">
        <v>70.845518118245394</v>
      </c>
      <c r="P598" s="29">
        <f t="shared" si="42"/>
        <v>-2.8591352859135159E-2</v>
      </c>
    </row>
    <row r="599" spans="1:16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  <c r="G599" s="15" t="s">
        <v>93</v>
      </c>
      <c r="H599" s="16">
        <v>97.183876311430154</v>
      </c>
      <c r="I599" s="16">
        <v>99.11651021535063</v>
      </c>
      <c r="J599" s="29">
        <f t="shared" si="41"/>
        <v>1.9886363636363528E-2</v>
      </c>
      <c r="M599" s="15" t="s">
        <v>93</v>
      </c>
      <c r="N599" s="16">
        <v>99.11651021535063</v>
      </c>
      <c r="O599" s="16">
        <v>96.742131419105462</v>
      </c>
      <c r="P599" s="29">
        <f t="shared" si="42"/>
        <v>-2.3955431754874645E-2</v>
      </c>
    </row>
    <row r="600" spans="1:16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  <c r="G600" s="15" t="s">
        <v>60</v>
      </c>
      <c r="H600" s="16">
        <v>99.803664921465966</v>
      </c>
      <c r="I600" s="16">
        <v>99.803664921465966</v>
      </c>
      <c r="J600" s="29">
        <f t="shared" si="41"/>
        <v>0</v>
      </c>
      <c r="M600" s="15" t="s">
        <v>60</v>
      </c>
      <c r="N600" s="16">
        <v>99.803664921465966</v>
      </c>
      <c r="O600" s="16">
        <v>99.803664921465966</v>
      </c>
      <c r="P600" s="29">
        <f t="shared" si="42"/>
        <v>0</v>
      </c>
    </row>
    <row r="601" spans="1:16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  <c r="G601" s="15" t="s">
        <v>8</v>
      </c>
      <c r="H601" s="16">
        <v>89.308331956605542</v>
      </c>
      <c r="I601" s="16">
        <v>89.419846907869371</v>
      </c>
      <c r="J601" s="29">
        <f t="shared" si="41"/>
        <v>1.2486511484506597E-3</v>
      </c>
      <c r="M601" s="15" t="s">
        <v>8</v>
      </c>
      <c r="N601" s="16">
        <v>89.419846907869371</v>
      </c>
      <c r="O601" s="16">
        <v>88.193182443967174</v>
      </c>
      <c r="P601" s="29">
        <f t="shared" si="42"/>
        <v>-1.3718033594555885E-2</v>
      </c>
    </row>
    <row r="602" spans="1:16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  <c r="G602" s="15" t="s">
        <v>49</v>
      </c>
      <c r="H602" s="16">
        <v>66.534391534391531</v>
      </c>
      <c r="I602" s="16">
        <v>65.873015873015873</v>
      </c>
      <c r="J602" s="29">
        <f t="shared" si="41"/>
        <v>-9.9403578528826503E-3</v>
      </c>
      <c r="M602" s="15" t="s">
        <v>49</v>
      </c>
      <c r="N602" s="16">
        <v>65.873015873015873</v>
      </c>
      <c r="O602" s="16">
        <v>65.204678362573105</v>
      </c>
      <c r="P602" s="29">
        <f t="shared" si="42"/>
        <v>-1.0145846544070939E-2</v>
      </c>
    </row>
    <row r="603" spans="1:16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  <c r="G603" s="15" t="s">
        <v>36</v>
      </c>
      <c r="H603" s="16">
        <v>95.551165460003531</v>
      </c>
      <c r="I603" s="16">
        <v>95.376787921596332</v>
      </c>
      <c r="J603" s="29">
        <f t="shared" si="41"/>
        <v>-1.8249650600043351E-3</v>
      </c>
      <c r="M603" s="15" t="s">
        <v>36</v>
      </c>
      <c r="N603" s="16">
        <v>95.376787921596332</v>
      </c>
      <c r="O603" s="16">
        <v>95.202410383189118</v>
      </c>
      <c r="P603" s="29">
        <f t="shared" si="42"/>
        <v>-1.8283016466287296E-3</v>
      </c>
    </row>
    <row r="604" spans="1:16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  <c r="G604" s="15" t="s">
        <v>83</v>
      </c>
      <c r="H604" s="16">
        <v>93.043478260869563</v>
      </c>
      <c r="I604" s="16">
        <v>70</v>
      </c>
      <c r="J604" s="29">
        <f t="shared" si="41"/>
        <v>-0.24766355140186913</v>
      </c>
      <c r="M604" s="15" t="s">
        <v>83</v>
      </c>
      <c r="N604" s="16">
        <v>70</v>
      </c>
      <c r="O604" s="16">
        <v>74.20289855072464</v>
      </c>
      <c r="P604" s="29">
        <f t="shared" si="42"/>
        <v>6.0041407867494866E-2</v>
      </c>
    </row>
    <row r="605" spans="1:16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  <c r="G605" s="15" t="s">
        <v>51</v>
      </c>
      <c r="H605" s="16">
        <v>74.77381016114353</v>
      </c>
      <c r="I605" s="16">
        <v>73.264093366882591</v>
      </c>
      <c r="J605" s="29">
        <f t="shared" si="41"/>
        <v>-2.0190448915300405E-2</v>
      </c>
      <c r="M605" s="15" t="s">
        <v>51</v>
      </c>
      <c r="N605" s="16">
        <v>73.264093366882591</v>
      </c>
      <c r="O605" s="16">
        <v>71.893570319610262</v>
      </c>
      <c r="P605" s="29">
        <f t="shared" si="42"/>
        <v>-1.8706613080014488E-2</v>
      </c>
    </row>
    <row r="606" spans="1:16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  <c r="G606" s="15" t="s">
        <v>63</v>
      </c>
      <c r="H606" s="16">
        <v>61.511182108626201</v>
      </c>
      <c r="I606" s="16">
        <v>61.35143769968051</v>
      </c>
      <c r="J606" s="29">
        <f t="shared" si="41"/>
        <v>-2.5969978704618196E-3</v>
      </c>
      <c r="M606" s="15" t="s">
        <v>63</v>
      </c>
      <c r="N606" s="16">
        <v>61.35143769968051</v>
      </c>
      <c r="O606" s="16">
        <v>61.146964856230035</v>
      </c>
      <c r="P606" s="29">
        <f t="shared" si="42"/>
        <v>-3.3328125813674222E-3</v>
      </c>
    </row>
    <row r="607" spans="1:16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  <c r="G607" s="15" t="s">
        <v>56</v>
      </c>
      <c r="H607" s="16">
        <v>62.608559171288064</v>
      </c>
      <c r="I607" s="16">
        <v>61.717850789996859</v>
      </c>
      <c r="J607" s="29">
        <f t="shared" si="41"/>
        <v>-1.4226623213838129E-2</v>
      </c>
      <c r="M607" s="15" t="s">
        <v>56</v>
      </c>
      <c r="N607" s="16">
        <v>61.717850789996859</v>
      </c>
      <c r="O607" s="16">
        <v>60.954012765512189</v>
      </c>
      <c r="P607" s="29">
        <f t="shared" si="42"/>
        <v>-1.2376290079894874E-2</v>
      </c>
    </row>
    <row r="608" spans="1:16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  <c r="G608" s="15" t="s">
        <v>78</v>
      </c>
      <c r="H608" s="16">
        <v>78.185109753337855</v>
      </c>
      <c r="I608" s="16">
        <v>78.886625933469105</v>
      </c>
      <c r="J608" s="29">
        <f t="shared" si="41"/>
        <v>8.9725036179449918E-3</v>
      </c>
      <c r="M608" s="15" t="s">
        <v>78</v>
      </c>
      <c r="N608" s="16">
        <v>78.886625933469105</v>
      </c>
      <c r="O608" s="16">
        <v>78.524553066304591</v>
      </c>
      <c r="P608" s="29">
        <f t="shared" si="42"/>
        <v>-4.5897877223178059E-3</v>
      </c>
    </row>
    <row r="609" spans="1:16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  <c r="G609" s="15" t="s">
        <v>52</v>
      </c>
      <c r="H609" s="16">
        <v>59.574468085106382</v>
      </c>
      <c r="I609" s="16">
        <v>53.723404255319146</v>
      </c>
      <c r="J609" s="29">
        <f t="shared" si="41"/>
        <v>-9.8214285714285754E-2</v>
      </c>
      <c r="M609" s="15" t="s">
        <v>52</v>
      </c>
      <c r="N609" s="16">
        <v>53.723404255319146</v>
      </c>
      <c r="O609" s="16">
        <v>54.787234042553195</v>
      </c>
      <c r="P609" s="29">
        <f t="shared" si="42"/>
        <v>1.980198019801992E-2</v>
      </c>
    </row>
    <row r="610" spans="1:16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  <c r="G610" s="15" t="s">
        <v>5</v>
      </c>
      <c r="H610" s="16">
        <v>91.329403685475569</v>
      </c>
      <c r="I610" s="16">
        <v>90.956850177406437</v>
      </c>
      <c r="J610" s="29">
        <f t="shared" si="41"/>
        <v>-4.0792285182562737E-3</v>
      </c>
      <c r="M610" s="15" t="s">
        <v>5</v>
      </c>
      <c r="N610" s="16">
        <v>90.956850177406437</v>
      </c>
      <c r="O610" s="16">
        <v>90.618061119377359</v>
      </c>
      <c r="P610" s="29">
        <f t="shared" si="42"/>
        <v>-3.7247228479030314E-3</v>
      </c>
    </row>
    <row r="611" spans="1:16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  <c r="G611" s="15" t="s">
        <v>65</v>
      </c>
      <c r="H611" s="16">
        <v>75.714285714285708</v>
      </c>
      <c r="I611" s="16">
        <v>73.793103448275858</v>
      </c>
      <c r="J611" s="29">
        <f t="shared" si="41"/>
        <v>-2.5374105400130104E-2</v>
      </c>
      <c r="M611" s="15" t="s">
        <v>65</v>
      </c>
      <c r="N611" s="16">
        <v>73.793103448275858</v>
      </c>
      <c r="O611" s="16">
        <v>72.41379310344827</v>
      </c>
      <c r="P611" s="29">
        <f t="shared" si="42"/>
        <v>-1.8691588785046745E-2</v>
      </c>
    </row>
    <row r="612" spans="1:16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  <c r="G612" s="15" t="s">
        <v>11</v>
      </c>
      <c r="H612" s="16">
        <v>47.723261560183552</v>
      </c>
      <c r="I612" s="16">
        <v>49.241087186727853</v>
      </c>
      <c r="J612" s="29">
        <f t="shared" si="41"/>
        <v>3.1804733727810688E-2</v>
      </c>
      <c r="M612" s="15" t="s">
        <v>11</v>
      </c>
      <c r="N612" s="16">
        <v>49.241087186727853</v>
      </c>
      <c r="O612" s="16">
        <v>55.630074126367809</v>
      </c>
      <c r="P612" s="29">
        <f t="shared" si="42"/>
        <v>0.12974910394265229</v>
      </c>
    </row>
    <row r="613" spans="1:16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  <c r="G613" s="15" t="s">
        <v>104</v>
      </c>
      <c r="H613" s="16">
        <v>60.562089506644263</v>
      </c>
      <c r="I613" s="16">
        <v>58.393157171223464</v>
      </c>
      <c r="J613" s="29">
        <f t="shared" si="41"/>
        <v>-3.5813366960907866E-2</v>
      </c>
      <c r="M613" s="15" t="s">
        <v>104</v>
      </c>
      <c r="N613" s="16">
        <v>58.393157171223464</v>
      </c>
      <c r="O613" s="16">
        <v>58.393157171223464</v>
      </c>
      <c r="P613" s="29">
        <f t="shared" si="42"/>
        <v>0</v>
      </c>
    </row>
    <row r="614" spans="1:16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  <c r="G614" s="15" t="s">
        <v>91</v>
      </c>
      <c r="H614" s="16">
        <v>65.549482813135185</v>
      </c>
      <c r="I614" s="16">
        <v>66.096029630967976</v>
      </c>
      <c r="J614" s="29">
        <f t="shared" si="41"/>
        <v>8.3379272326351717E-3</v>
      </c>
      <c r="M614" s="15" t="s">
        <v>91</v>
      </c>
      <c r="N614" s="16">
        <v>66.096029630967976</v>
      </c>
      <c r="O614" s="16">
        <v>66.096029630967976</v>
      </c>
      <c r="P614" s="29">
        <f t="shared" si="42"/>
        <v>0</v>
      </c>
    </row>
    <row r="615" spans="1:16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  <c r="G615" s="15" t="s">
        <v>85</v>
      </c>
      <c r="H615" s="16">
        <v>84.099982641902443</v>
      </c>
      <c r="I615" s="16">
        <v>84.099982641902443</v>
      </c>
      <c r="J615" s="29">
        <f t="shared" si="41"/>
        <v>0</v>
      </c>
      <c r="M615" s="15" t="s">
        <v>85</v>
      </c>
      <c r="N615" s="16">
        <v>84.099982641902443</v>
      </c>
      <c r="O615" s="16">
        <v>84.099982641902443</v>
      </c>
      <c r="P615" s="29">
        <f t="shared" si="42"/>
        <v>0</v>
      </c>
    </row>
    <row r="616" spans="1:16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  <c r="G616" s="15" t="s">
        <v>16</v>
      </c>
      <c r="H616" s="16">
        <v>61.417004048582996</v>
      </c>
      <c r="I616" s="16">
        <v>51.902834008097166</v>
      </c>
      <c r="J616" s="29">
        <f t="shared" si="41"/>
        <v>-0.15491100856954515</v>
      </c>
      <c r="M616" s="15" t="s">
        <v>16</v>
      </c>
      <c r="N616" s="16">
        <v>51.902834008097166</v>
      </c>
      <c r="O616" s="16">
        <v>47.004048582995949</v>
      </c>
      <c r="P616" s="29">
        <f t="shared" si="42"/>
        <v>-9.4383775351014082E-2</v>
      </c>
    </row>
    <row r="617" spans="1:16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  <c r="G617" s="15" t="s">
        <v>94</v>
      </c>
      <c r="H617" s="16">
        <v>100</v>
      </c>
      <c r="I617" s="16">
        <v>100</v>
      </c>
      <c r="J617" s="29">
        <f t="shared" si="41"/>
        <v>0</v>
      </c>
      <c r="M617" s="15" t="s">
        <v>94</v>
      </c>
      <c r="N617" s="16">
        <v>100</v>
      </c>
      <c r="O617" s="16">
        <v>99.659318637274552</v>
      </c>
      <c r="P617" s="29">
        <f t="shared" si="42"/>
        <v>-3.4068136272544791E-3</v>
      </c>
    </row>
    <row r="618" spans="1:16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  <c r="G618" s="15" t="s">
        <v>98</v>
      </c>
      <c r="H618" s="16">
        <v>46.580676563640786</v>
      </c>
      <c r="I618" s="16">
        <v>46.434655633974202</v>
      </c>
      <c r="J618" s="29">
        <f t="shared" si="41"/>
        <v>-3.1347962382444758E-3</v>
      </c>
      <c r="M618" s="15" t="s">
        <v>98</v>
      </c>
      <c r="N618" s="16">
        <v>46.434655633974202</v>
      </c>
      <c r="O618" s="16">
        <v>46.337308347529813</v>
      </c>
      <c r="P618" s="29">
        <f t="shared" si="42"/>
        <v>-2.0964360587001842E-3</v>
      </c>
    </row>
    <row r="619" spans="1:16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  <c r="G619" s="15" t="s">
        <v>15</v>
      </c>
      <c r="H619" s="16">
        <v>93.908196721311469</v>
      </c>
      <c r="I619" s="16">
        <v>93.790163934426232</v>
      </c>
      <c r="J619" s="29">
        <f t="shared" si="41"/>
        <v>-1.2568954681934706E-3</v>
      </c>
      <c r="M619" s="15" t="s">
        <v>15</v>
      </c>
      <c r="N619" s="16">
        <v>93.790163934426232</v>
      </c>
      <c r="O619" s="16">
        <v>93.678688524590157</v>
      </c>
      <c r="P619" s="29">
        <f t="shared" si="42"/>
        <v>-1.188561840173489E-3</v>
      </c>
    </row>
    <row r="620" spans="1:16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  <c r="G620" s="15" t="s">
        <v>106</v>
      </c>
      <c r="H620" s="16">
        <v>32.284299858557283</v>
      </c>
      <c r="I620" s="16">
        <v>32.708628005657708</v>
      </c>
      <c r="J620" s="29">
        <f t="shared" si="41"/>
        <v>1.3143483023001123E-2</v>
      </c>
      <c r="M620" s="15" t="s">
        <v>106</v>
      </c>
      <c r="N620" s="16">
        <v>32.708628005657708</v>
      </c>
      <c r="O620" s="16">
        <v>33.274398868458277</v>
      </c>
      <c r="P620" s="29">
        <f t="shared" si="42"/>
        <v>1.7297297297297405E-2</v>
      </c>
    </row>
    <row r="621" spans="1:16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  <c r="G621" s="15" t="s">
        <v>88</v>
      </c>
      <c r="H621" s="16">
        <v>25.501432664756447</v>
      </c>
      <c r="I621" s="16">
        <v>26.647564469914041</v>
      </c>
      <c r="J621" s="29">
        <f t="shared" si="41"/>
        <v>4.4943820224719148E-2</v>
      </c>
      <c r="M621" s="15" t="s">
        <v>88</v>
      </c>
      <c r="N621" s="16">
        <v>26.647564469914041</v>
      </c>
      <c r="O621" s="16">
        <v>25.501432664756447</v>
      </c>
      <c r="P621" s="29">
        <f t="shared" si="42"/>
        <v>-4.3010752688172088E-2</v>
      </c>
    </row>
    <row r="622" spans="1:16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  <c r="G622" s="15" t="s">
        <v>73</v>
      </c>
      <c r="H622" s="16">
        <v>75.016137129742518</v>
      </c>
      <c r="I622" s="16">
        <v>74.442372516675036</v>
      </c>
      <c r="J622" s="29">
        <f t="shared" si="41"/>
        <v>-7.6485491658300105E-3</v>
      </c>
      <c r="M622" s="15" t="s">
        <v>73</v>
      </c>
      <c r="N622" s="16">
        <v>74.442372516675036</v>
      </c>
      <c r="O622" s="16">
        <v>73.977981782973529</v>
      </c>
      <c r="P622" s="29">
        <f t="shared" si="42"/>
        <v>-6.2382581049184498E-3</v>
      </c>
    </row>
    <row r="623" spans="1:16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  <c r="G623" s="15" t="s">
        <v>107</v>
      </c>
      <c r="H623" s="16">
        <v>79.90654205607477</v>
      </c>
      <c r="I623" s="16">
        <v>78.942757009345797</v>
      </c>
      <c r="J623" s="29">
        <f t="shared" si="41"/>
        <v>-1.2061403508771934E-2</v>
      </c>
      <c r="M623" s="15" t="s">
        <v>107</v>
      </c>
      <c r="N623" s="16">
        <v>78.942757009345797</v>
      </c>
      <c r="O623" s="16">
        <v>78.066588785046733</v>
      </c>
      <c r="P623" s="29">
        <f t="shared" si="42"/>
        <v>-1.1098779134295215E-2</v>
      </c>
    </row>
    <row r="624" spans="1:16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  <c r="G624" s="15" t="s">
        <v>95</v>
      </c>
      <c r="H624" s="16">
        <v>44.290711902960638</v>
      </c>
      <c r="I624" s="16">
        <v>44.40139933282898</v>
      </c>
      <c r="J624" s="29">
        <f t="shared" si="41"/>
        <v>2.4991115543785891E-3</v>
      </c>
      <c r="M624" s="15" t="s">
        <v>95</v>
      </c>
      <c r="N624" s="16">
        <v>44.40139933282898</v>
      </c>
      <c r="O624" s="16">
        <v>44.40139933282898</v>
      </c>
      <c r="P624" s="29">
        <f t="shared" si="42"/>
        <v>0</v>
      </c>
    </row>
    <row r="625" spans="1:16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  <c r="G625" s="15" t="s">
        <v>25</v>
      </c>
      <c r="H625" s="16">
        <v>87.962848297213625</v>
      </c>
      <c r="I625" s="16">
        <v>87.727554179566567</v>
      </c>
      <c r="J625" s="29">
        <f t="shared" si="41"/>
        <v>-2.6749260875686236E-3</v>
      </c>
      <c r="M625" s="15" t="s">
        <v>25</v>
      </c>
      <c r="N625" s="16">
        <v>87.727554179566567</v>
      </c>
      <c r="O625" s="16">
        <v>87.256965944272451</v>
      </c>
      <c r="P625" s="29">
        <f t="shared" si="42"/>
        <v>-5.36420101637491E-3</v>
      </c>
    </row>
    <row r="626" spans="1:16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  <c r="G626" s="15" t="s">
        <v>80</v>
      </c>
      <c r="H626" s="16">
        <v>87.745184661600987</v>
      </c>
      <c r="I626" s="16">
        <v>87.939565294221595</v>
      </c>
      <c r="J626" s="29">
        <f t="shared" si="41"/>
        <v>2.2152854697412472E-3</v>
      </c>
      <c r="M626" s="15" t="s">
        <v>80</v>
      </c>
      <c r="N626" s="16">
        <v>87.939565294221595</v>
      </c>
      <c r="O626" s="16">
        <v>87.789362078105668</v>
      </c>
      <c r="P626" s="29">
        <f t="shared" si="42"/>
        <v>-1.7080277303326177E-3</v>
      </c>
    </row>
    <row r="627" spans="1:16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  <c r="G627" s="15" t="s">
        <v>67</v>
      </c>
      <c r="H627" s="16">
        <v>55.12941919191919</v>
      </c>
      <c r="I627" s="16">
        <v>54.845328282828284</v>
      </c>
      <c r="J627" s="29">
        <f t="shared" si="41"/>
        <v>-5.1531634697966899E-3</v>
      </c>
      <c r="M627" s="15" t="s">
        <v>67</v>
      </c>
      <c r="N627" s="16">
        <v>54.845328282828284</v>
      </c>
      <c r="O627" s="16">
        <v>54.765286796536799</v>
      </c>
      <c r="P627" s="29">
        <f t="shared" si="42"/>
        <v>-1.4594039054470452E-3</v>
      </c>
    </row>
    <row r="628" spans="1:16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  <c r="G628" s="15" t="s">
        <v>66</v>
      </c>
      <c r="H628" s="16">
        <v>65.873015873015873</v>
      </c>
      <c r="I628" s="16">
        <v>86.706349206349202</v>
      </c>
      <c r="J628" s="29">
        <f t="shared" si="41"/>
        <v>0.31626506024096379</v>
      </c>
      <c r="M628" s="15" t="s">
        <v>66</v>
      </c>
      <c r="N628" s="16">
        <v>86.706349206349202</v>
      </c>
      <c r="O628" s="16">
        <v>79.563492063492063</v>
      </c>
      <c r="P628" s="29">
        <f t="shared" si="42"/>
        <v>-8.237986270022879E-2</v>
      </c>
    </row>
    <row r="629" spans="1:16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  <c r="G629" s="15" t="s">
        <v>38</v>
      </c>
      <c r="H629" s="16">
        <v>53.680981595092021</v>
      </c>
      <c r="I629" s="16">
        <v>50.81799591002045</v>
      </c>
      <c r="J629" s="29">
        <f t="shared" si="41"/>
        <v>-5.3333333333333274E-2</v>
      </c>
      <c r="M629" s="15" t="s">
        <v>38</v>
      </c>
      <c r="N629" s="16">
        <v>50.81799591002045</v>
      </c>
      <c r="O629" s="16">
        <v>49.591002044989779</v>
      </c>
      <c r="P629" s="29">
        <f t="shared" si="42"/>
        <v>-2.414486921529168E-2</v>
      </c>
    </row>
    <row r="630" spans="1:16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  <c r="G630" s="15" t="s">
        <v>101</v>
      </c>
      <c r="H630" s="16">
        <v>30.275229357798164</v>
      </c>
      <c r="I630" s="16">
        <v>25.28032619775739</v>
      </c>
      <c r="J630" s="29">
        <f t="shared" si="41"/>
        <v>-0.16498316498316498</v>
      </c>
      <c r="M630" s="15" t="s">
        <v>101</v>
      </c>
      <c r="N630" s="16">
        <v>25.28032619775739</v>
      </c>
      <c r="O630" s="16">
        <v>28.74617737003058</v>
      </c>
      <c r="P630" s="29">
        <f t="shared" si="42"/>
        <v>0.13709677419354838</v>
      </c>
    </row>
    <row r="631" spans="1:16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  <c r="G631" s="15" t="s">
        <v>22</v>
      </c>
      <c r="H631" s="16">
        <v>75.332752829953975</v>
      </c>
      <c r="I631" s="16">
        <v>74.648588132852339</v>
      </c>
      <c r="J631" s="29">
        <f t="shared" si="41"/>
        <v>-9.0819022457068223E-3</v>
      </c>
      <c r="M631" s="15" t="s">
        <v>22</v>
      </c>
      <c r="N631" s="16">
        <v>74.648588132852339</v>
      </c>
      <c r="O631" s="16">
        <v>74.026620226396318</v>
      </c>
      <c r="P631" s="29">
        <f t="shared" si="42"/>
        <v>-8.3319446758872758E-3</v>
      </c>
    </row>
    <row r="632" spans="1:16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  <c r="G632" s="15" t="s">
        <v>14</v>
      </c>
      <c r="H632" s="16">
        <v>29.62962962962963</v>
      </c>
      <c r="I632" s="16">
        <v>73.015873015873012</v>
      </c>
      <c r="J632" s="29">
        <f t="shared" si="41"/>
        <v>1.464285714285714</v>
      </c>
      <c r="M632" s="15" t="s">
        <v>14</v>
      </c>
      <c r="N632" s="16">
        <v>73.015873015873012</v>
      </c>
      <c r="O632" s="16">
        <v>53.439153439153436</v>
      </c>
      <c r="P632" s="29">
        <f t="shared" si="42"/>
        <v>-0.26811594202898553</v>
      </c>
    </row>
    <row r="633" spans="1:16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  <c r="G633" s="15" t="s">
        <v>59</v>
      </c>
      <c r="H633" s="16">
        <v>55.081317368521084</v>
      </c>
      <c r="I633" s="16">
        <v>54.350954359099674</v>
      </c>
      <c r="J633" s="29">
        <f t="shared" si="41"/>
        <v>-1.3259722975304358E-2</v>
      </c>
      <c r="M633" s="15" t="s">
        <v>59</v>
      </c>
      <c r="N633" s="16">
        <v>54.350954359099674</v>
      </c>
      <c r="O633" s="16">
        <v>53.653172599169181</v>
      </c>
      <c r="P633" s="29">
        <f t="shared" si="42"/>
        <v>-1.2838445399140763E-2</v>
      </c>
    </row>
    <row r="634" spans="1:16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  <c r="G634" s="15" t="s">
        <v>79</v>
      </c>
      <c r="H634" s="16">
        <v>97.540554683411827</v>
      </c>
      <c r="I634" s="16">
        <v>96.30211058782487</v>
      </c>
      <c r="J634" s="29">
        <f t="shared" si="41"/>
        <v>-1.2696709585121641E-2</v>
      </c>
      <c r="M634" s="15" t="s">
        <v>79</v>
      </c>
      <c r="N634" s="16">
        <v>96.30211058782487</v>
      </c>
      <c r="O634" s="16">
        <v>96.30211058782487</v>
      </c>
      <c r="P634" s="29">
        <f t="shared" si="42"/>
        <v>0</v>
      </c>
    </row>
    <row r="635" spans="1:16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  <c r="G635" s="15" t="s">
        <v>24</v>
      </c>
      <c r="H635" s="16">
        <v>71.621621621621628</v>
      </c>
      <c r="I635" s="16">
        <v>56.606606606606604</v>
      </c>
      <c r="J635" s="29">
        <f t="shared" si="41"/>
        <v>-0.20964360587002107</v>
      </c>
      <c r="M635" s="15" t="s">
        <v>24</v>
      </c>
      <c r="N635" s="16">
        <v>56.606606606606604</v>
      </c>
      <c r="O635" s="16">
        <v>36.036036036036037</v>
      </c>
      <c r="P635" s="29">
        <f t="shared" si="42"/>
        <v>-0.36339522546419095</v>
      </c>
    </row>
    <row r="636" spans="1:16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  <c r="G636" s="15" t="s">
        <v>72</v>
      </c>
      <c r="H636" s="16">
        <v>90.083812399589647</v>
      </c>
      <c r="I636" s="16">
        <v>89.709269690107035</v>
      </c>
      <c r="J636" s="29">
        <f t="shared" si="41"/>
        <v>-4.1577137945853345E-3</v>
      </c>
      <c r="M636" s="15" t="s">
        <v>72</v>
      </c>
      <c r="N636" s="16">
        <v>89.709269690107035</v>
      </c>
      <c r="O636" s="16">
        <v>89.460542361070779</v>
      </c>
      <c r="P636" s="29">
        <f t="shared" si="42"/>
        <v>-2.7725933997173736E-3</v>
      </c>
    </row>
    <row r="637" spans="1:16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  <c r="G637" s="15" t="s">
        <v>42</v>
      </c>
      <c r="H637" s="16">
        <v>1.5864527629233511</v>
      </c>
      <c r="I637" s="16">
        <v>1.6042780748663101</v>
      </c>
      <c r="J637" s="29">
        <f t="shared" si="41"/>
        <v>1.1235955056179773E-2</v>
      </c>
      <c r="M637" s="15" t="s">
        <v>42</v>
      </c>
      <c r="N637" s="16">
        <v>1.6042780748663101</v>
      </c>
      <c r="O637" s="16">
        <v>1.6399286987522281</v>
      </c>
      <c r="P637" s="29">
        <f t="shared" si="42"/>
        <v>2.222222222222222E-2</v>
      </c>
    </row>
    <row r="638" spans="1:16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  <c r="G638" s="15" t="s">
        <v>21</v>
      </c>
      <c r="H638" s="16">
        <v>82.367197222768056</v>
      </c>
      <c r="I638" s="16">
        <v>82.22309556559901</v>
      </c>
      <c r="J638" s="29">
        <f t="shared" si="41"/>
        <v>-1.7495029821072102E-3</v>
      </c>
      <c r="M638" s="15" t="s">
        <v>21</v>
      </c>
      <c r="N638" s="16">
        <v>82.22309556559901</v>
      </c>
      <c r="O638" s="16">
        <v>82.039693456474751</v>
      </c>
      <c r="P638" s="29">
        <f t="shared" si="42"/>
        <v>-2.2305424998008941E-3</v>
      </c>
    </row>
    <row r="639" spans="1:16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  <c r="G639" s="15" t="s">
        <v>13</v>
      </c>
      <c r="H639" s="16">
        <v>33.890770533446229</v>
      </c>
      <c r="I639" s="16">
        <v>35.732430143945805</v>
      </c>
      <c r="J639" s="29">
        <f t="shared" si="41"/>
        <v>5.4341036851967513E-2</v>
      </c>
      <c r="M639" s="15" t="s">
        <v>13</v>
      </c>
      <c r="N639" s="16">
        <v>35.732430143945805</v>
      </c>
      <c r="O639" s="16">
        <v>38.590177815410669</v>
      </c>
      <c r="P639" s="29">
        <f t="shared" si="42"/>
        <v>7.9976303317535649E-2</v>
      </c>
    </row>
    <row r="640" spans="1:16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  <c r="G640" s="15" t="s">
        <v>71</v>
      </c>
      <c r="H640" s="16">
        <v>86.288441145281013</v>
      </c>
      <c r="I640" s="16">
        <v>86.352067868504776</v>
      </c>
      <c r="J640" s="29">
        <f t="shared" si="41"/>
        <v>7.3737249600600171E-4</v>
      </c>
      <c r="M640" s="15" t="s">
        <v>71</v>
      </c>
      <c r="N640" s="16">
        <v>86.352067868504776</v>
      </c>
      <c r="O640" s="16">
        <v>86.352067868504776</v>
      </c>
      <c r="P640" s="29">
        <f t="shared" si="42"/>
        <v>0</v>
      </c>
    </row>
    <row r="641" spans="1:16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  <c r="G641" s="15" t="s">
        <v>28</v>
      </c>
      <c r="H641" s="16">
        <v>93.266879819447055</v>
      </c>
      <c r="I641" s="16">
        <v>93.680646981380477</v>
      </c>
      <c r="J641" s="29">
        <f t="shared" si="41"/>
        <v>4.4363783020770339E-3</v>
      </c>
      <c r="M641" s="15" t="s">
        <v>28</v>
      </c>
      <c r="N641" s="16">
        <v>93.680646981380477</v>
      </c>
      <c r="O641" s="16">
        <v>93.342110212525867</v>
      </c>
      <c r="P641" s="29">
        <f t="shared" si="42"/>
        <v>-3.6137321822926317E-3</v>
      </c>
    </row>
    <row r="642" spans="1:16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  <c r="G642" s="15" t="s">
        <v>44</v>
      </c>
      <c r="H642" s="16">
        <v>88.899328859060404</v>
      </c>
      <c r="I642" s="16">
        <v>90.724832214765101</v>
      </c>
      <c r="J642" s="29">
        <f t="shared" si="41"/>
        <v>2.0534500981428346E-2</v>
      </c>
      <c r="M642" s="15" t="s">
        <v>44</v>
      </c>
      <c r="N642" s="16">
        <v>90.724832214765101</v>
      </c>
      <c r="O642" s="16">
        <v>93.127516778523486</v>
      </c>
      <c r="P642" s="29">
        <f t="shared" si="42"/>
        <v>2.6483207575085023E-2</v>
      </c>
    </row>
    <row r="643" spans="1:16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3">(C643-B643)/B643</f>
        <v>-4.0434865534999575E-3</v>
      </c>
      <c r="G643" s="15" t="s">
        <v>50</v>
      </c>
      <c r="H643" s="16">
        <v>72.32409972299169</v>
      </c>
      <c r="I643" s="16">
        <v>71.905817174515235</v>
      </c>
      <c r="J643" s="29">
        <f t="shared" si="41"/>
        <v>-5.7834463211919353E-3</v>
      </c>
      <c r="M643" s="15" t="s">
        <v>50</v>
      </c>
      <c r="N643" s="16">
        <v>71.905817174515235</v>
      </c>
      <c r="O643" s="16">
        <v>71.529085872576175</v>
      </c>
      <c r="P643" s="29">
        <f t="shared" si="42"/>
        <v>-5.2392326065182461E-3</v>
      </c>
    </row>
    <row r="644" spans="1:16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3"/>
        <v>3.5662299854439604E-2</v>
      </c>
      <c r="G644" s="15" t="s">
        <v>12</v>
      </c>
      <c r="H644" s="16">
        <v>62.714852357866903</v>
      </c>
      <c r="I644" s="16">
        <v>65.271044513001328</v>
      </c>
      <c r="J644" s="29">
        <f t="shared" ref="J644:J667" si="44">(I644-H644)/H644</f>
        <v>4.0758959943780829E-2</v>
      </c>
      <c r="M644" s="15" t="s">
        <v>12</v>
      </c>
      <c r="N644" s="16">
        <v>65.271044513001328</v>
      </c>
      <c r="O644" s="16">
        <v>59.277214631996472</v>
      </c>
      <c r="P644" s="29">
        <f t="shared" ref="P644:P667" si="45">(O644-N644)/N644</f>
        <v>-9.1829844699527471E-2</v>
      </c>
    </row>
    <row r="645" spans="1:16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3"/>
        <v>-1.9357042547538689E-3</v>
      </c>
      <c r="G645" s="15" t="s">
        <v>19</v>
      </c>
      <c r="H645" s="16">
        <v>91.267527419130914</v>
      </c>
      <c r="I645" s="16">
        <v>91.208524226016934</v>
      </c>
      <c r="J645" s="29">
        <f t="shared" si="44"/>
        <v>-6.4648615759051046E-4</v>
      </c>
      <c r="M645" s="15" t="s">
        <v>19</v>
      </c>
      <c r="N645" s="16">
        <v>91.208524226016934</v>
      </c>
      <c r="O645" s="16">
        <v>91.061363320838538</v>
      </c>
      <c r="P645" s="29">
        <f t="shared" si="45"/>
        <v>-1.6134556109440765E-3</v>
      </c>
    </row>
    <row r="646" spans="1:16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3"/>
        <v>0</v>
      </c>
      <c r="G646" s="15" t="s">
        <v>87</v>
      </c>
      <c r="H646" s="16">
        <v>80.661985957873625</v>
      </c>
      <c r="I646" s="16">
        <v>80.661985957873625</v>
      </c>
      <c r="J646" s="29">
        <f t="shared" si="44"/>
        <v>0</v>
      </c>
      <c r="M646" s="15" t="s">
        <v>87</v>
      </c>
      <c r="N646" s="16">
        <v>80.661985957873625</v>
      </c>
      <c r="O646" s="16">
        <v>80.661985957873625</v>
      </c>
      <c r="P646" s="29">
        <f t="shared" si="45"/>
        <v>0</v>
      </c>
    </row>
    <row r="647" spans="1:16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3"/>
        <v>-3.6457301367148837E-2</v>
      </c>
      <c r="G647" s="15" t="s">
        <v>81</v>
      </c>
      <c r="H647" s="16">
        <v>37.569530284301607</v>
      </c>
      <c r="I647" s="16">
        <v>36.325710754017308</v>
      </c>
      <c r="J647" s="29">
        <f t="shared" si="44"/>
        <v>-3.3107135513057703E-2</v>
      </c>
      <c r="M647" s="15" t="s">
        <v>81</v>
      </c>
      <c r="N647" s="16">
        <v>36.325710754017308</v>
      </c>
      <c r="O647" s="16">
        <v>34.942830655129789</v>
      </c>
      <c r="P647" s="29">
        <f t="shared" si="45"/>
        <v>-3.8068906848149814E-2</v>
      </c>
    </row>
    <row r="648" spans="1:16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3"/>
        <v>1.9535197036039086E-2</v>
      </c>
      <c r="G648" s="15" t="s">
        <v>90</v>
      </c>
      <c r="H648" s="16">
        <v>72.66834713719841</v>
      </c>
      <c r="I648" s="16">
        <v>70.867842996038888</v>
      </c>
      <c r="J648" s="29">
        <f t="shared" si="44"/>
        <v>-2.47770069375619E-2</v>
      </c>
      <c r="M648" s="15" t="s">
        <v>90</v>
      </c>
      <c r="N648" s="16">
        <v>70.867842996038888</v>
      </c>
      <c r="O648" s="16">
        <v>68.671227943824277</v>
      </c>
      <c r="P648" s="29">
        <f t="shared" si="45"/>
        <v>-3.0995934959349464E-2</v>
      </c>
    </row>
    <row r="649" spans="1:16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3"/>
        <v>-8.3646502606375666E-3</v>
      </c>
      <c r="G649" s="15" t="s">
        <v>86</v>
      </c>
      <c r="H649" s="16">
        <v>93.403874700262634</v>
      </c>
      <c r="I649" s="16">
        <v>93.046092947132038</v>
      </c>
      <c r="J649" s="29">
        <f t="shared" si="44"/>
        <v>-3.8304808475958154E-3</v>
      </c>
      <c r="M649" s="15" t="s">
        <v>86</v>
      </c>
      <c r="N649" s="16">
        <v>93.046092947132038</v>
      </c>
      <c r="O649" s="16">
        <v>92.692117382864538</v>
      </c>
      <c r="P649" s="29">
        <f t="shared" si="45"/>
        <v>-3.8043033625133104E-3</v>
      </c>
    </row>
    <row r="650" spans="1:16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3"/>
        <v>1.4263074484944512E-2</v>
      </c>
      <c r="G650" s="15" t="s">
        <v>103</v>
      </c>
      <c r="H650" s="16">
        <v>73.761044948136771</v>
      </c>
      <c r="I650" s="16">
        <v>65.923933922397239</v>
      </c>
      <c r="J650" s="29">
        <f t="shared" si="44"/>
        <v>-0.10625</v>
      </c>
      <c r="M650" s="15" t="s">
        <v>103</v>
      </c>
      <c r="N650" s="16">
        <v>65.923933922397239</v>
      </c>
      <c r="O650" s="16">
        <v>57.164809834805993</v>
      </c>
      <c r="P650" s="29">
        <f t="shared" si="45"/>
        <v>-0.13286713286713295</v>
      </c>
    </row>
    <row r="651" spans="1:16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3"/>
        <v>-6.1211129296235699E-2</v>
      </c>
      <c r="G651" s="15" t="s">
        <v>26</v>
      </c>
      <c r="H651" s="16">
        <v>73.406705912464801</v>
      </c>
      <c r="I651" s="16">
        <v>69.362682364985929</v>
      </c>
      <c r="J651" s="29">
        <f t="shared" si="44"/>
        <v>-5.5090655509065396E-2</v>
      </c>
      <c r="M651" s="15" t="s">
        <v>26</v>
      </c>
      <c r="N651" s="16">
        <v>69.362682364985929</v>
      </c>
      <c r="O651" s="16">
        <v>71.435884310212444</v>
      </c>
      <c r="P651" s="29">
        <f t="shared" si="45"/>
        <v>2.9889298892988903E-2</v>
      </c>
    </row>
    <row r="652" spans="1:16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3"/>
        <v>-6.9820461669991389E-3</v>
      </c>
      <c r="G652" s="15" t="s">
        <v>32</v>
      </c>
      <c r="H652" s="16">
        <v>39.026712213697706</v>
      </c>
      <c r="I652" s="16">
        <v>38.713109704877638</v>
      </c>
      <c r="J652" s="29">
        <f t="shared" si="44"/>
        <v>-8.0355861673123245E-3</v>
      </c>
      <c r="M652" s="15" t="s">
        <v>32</v>
      </c>
      <c r="N652" s="16">
        <v>38.713109704877638</v>
      </c>
      <c r="O652" s="16">
        <v>38.505908047264377</v>
      </c>
      <c r="P652" s="29">
        <f t="shared" si="45"/>
        <v>-5.3522349197164826E-3</v>
      </c>
    </row>
    <row r="653" spans="1:16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3"/>
        <v>-3.3811791862412852E-3</v>
      </c>
      <c r="G653" s="15" t="s">
        <v>70</v>
      </c>
      <c r="H653" s="16">
        <v>74.811777769642831</v>
      </c>
      <c r="I653" s="16">
        <v>74.557967565984555</v>
      </c>
      <c r="J653" s="29">
        <f t="shared" si="44"/>
        <v>-3.3926503449737151E-3</v>
      </c>
      <c r="M653" s="15" t="s">
        <v>70</v>
      </c>
      <c r="N653" s="16">
        <v>74.557967565984555</v>
      </c>
      <c r="O653" s="16">
        <v>74.304157362326265</v>
      </c>
      <c r="P653" s="29">
        <f t="shared" si="45"/>
        <v>-3.4041996039345531E-3</v>
      </c>
    </row>
    <row r="654" spans="1:16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3"/>
        <v>2.2782663982198266E-3</v>
      </c>
      <c r="G654" s="15" t="s">
        <v>20</v>
      </c>
      <c r="H654" s="16">
        <v>75.880465302847981</v>
      </c>
      <c r="I654" s="16">
        <v>75.707982350581631</v>
      </c>
      <c r="J654" s="29">
        <f t="shared" si="44"/>
        <v>-2.2730876988952264E-3</v>
      </c>
      <c r="M654" s="15" t="s">
        <v>20</v>
      </c>
      <c r="N654" s="16">
        <v>75.707982350581631</v>
      </c>
      <c r="O654" s="16">
        <v>75.650488033159519</v>
      </c>
      <c r="P654" s="29">
        <f t="shared" si="45"/>
        <v>-7.5942213273987957E-4</v>
      </c>
    </row>
    <row r="655" spans="1:16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3"/>
        <v>0</v>
      </c>
      <c r="G655" s="15" t="s">
        <v>68</v>
      </c>
      <c r="H655" s="16">
        <v>94.347240915208616</v>
      </c>
      <c r="I655" s="16">
        <v>94.347240915208616</v>
      </c>
      <c r="J655" s="29">
        <f t="shared" si="44"/>
        <v>0</v>
      </c>
      <c r="M655" s="15" t="s">
        <v>68</v>
      </c>
      <c r="N655" s="16">
        <v>94.347240915208616</v>
      </c>
      <c r="O655" s="16">
        <v>94.347240915208616</v>
      </c>
      <c r="P655" s="29">
        <f t="shared" si="45"/>
        <v>0</v>
      </c>
    </row>
    <row r="656" spans="1:16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3"/>
        <v>-5.2219321148824546E-3</v>
      </c>
      <c r="G656" s="15" t="s">
        <v>75</v>
      </c>
      <c r="H656" s="16">
        <v>58.796296296296298</v>
      </c>
      <c r="I656" s="16">
        <v>75.540123456790127</v>
      </c>
      <c r="J656" s="29">
        <f t="shared" si="44"/>
        <v>0.28477690288713914</v>
      </c>
      <c r="M656" s="15" t="s">
        <v>75</v>
      </c>
      <c r="N656" s="16">
        <v>75.540123456790127</v>
      </c>
      <c r="O656" s="16">
        <v>75.848765432098759</v>
      </c>
      <c r="P656" s="29">
        <f t="shared" si="45"/>
        <v>4.0858018386106922E-3</v>
      </c>
    </row>
    <row r="657" spans="1:16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3"/>
        <v>-2.3372677340189195E-3</v>
      </c>
      <c r="G657" s="15" t="s">
        <v>30</v>
      </c>
      <c r="H657" s="16">
        <v>76.993145743145746</v>
      </c>
      <c r="I657" s="16">
        <v>76.551226551226549</v>
      </c>
      <c r="J657" s="29">
        <f t="shared" si="44"/>
        <v>-5.7397212135411272E-3</v>
      </c>
      <c r="M657" s="15" t="s">
        <v>30</v>
      </c>
      <c r="N657" s="16">
        <v>76.551226551226549</v>
      </c>
      <c r="O657" s="16">
        <v>75.649350649350652</v>
      </c>
      <c r="P657" s="29">
        <f t="shared" si="45"/>
        <v>-1.1781338360037637E-2</v>
      </c>
    </row>
    <row r="658" spans="1:16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3"/>
        <v>-2.5155123260104047E-2</v>
      </c>
      <c r="G658" s="15" t="s">
        <v>29</v>
      </c>
      <c r="H658" s="16">
        <v>79.597425715459394</v>
      </c>
      <c r="I658" s="16">
        <v>77.543475284129812</v>
      </c>
      <c r="J658" s="29">
        <f t="shared" si="44"/>
        <v>-2.5804231894030517E-2</v>
      </c>
      <c r="M658" s="15" t="s">
        <v>29</v>
      </c>
      <c r="N658" s="16">
        <v>77.543475284129812</v>
      </c>
      <c r="O658" s="16">
        <v>75.653840887306586</v>
      </c>
      <c r="P658" s="29">
        <f t="shared" si="45"/>
        <v>-2.4368709164753696E-2</v>
      </c>
    </row>
    <row r="659" spans="1:16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3"/>
        <v>-1.5287099179716658E-2</v>
      </c>
      <c r="G659" s="15" t="s">
        <v>34</v>
      </c>
      <c r="H659" s="16">
        <v>81.319921995278662</v>
      </c>
      <c r="I659" s="16">
        <v>80.170378733449652</v>
      </c>
      <c r="J659" s="29">
        <f t="shared" si="44"/>
        <v>-1.4136059573393967E-2</v>
      </c>
      <c r="M659" s="15" t="s">
        <v>34</v>
      </c>
      <c r="N659" s="16">
        <v>80.170378733449652</v>
      </c>
      <c r="O659" s="16">
        <v>79.144000821102324</v>
      </c>
      <c r="P659" s="29">
        <f t="shared" si="45"/>
        <v>-1.2802458071949841E-2</v>
      </c>
    </row>
    <row r="660" spans="1:16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3"/>
        <v>-3.5868590527430569E-3</v>
      </c>
      <c r="G660" s="15" t="s">
        <v>96</v>
      </c>
      <c r="H660" s="16">
        <v>88.316473988439313</v>
      </c>
      <c r="I660" s="16">
        <v>88.038053949903656</v>
      </c>
      <c r="J660" s="29">
        <f t="shared" si="44"/>
        <v>-3.1525266573946597E-3</v>
      </c>
      <c r="M660" s="15" t="s">
        <v>96</v>
      </c>
      <c r="N660" s="16">
        <v>88.038053949903656</v>
      </c>
      <c r="O660" s="16">
        <v>87.839595375722539</v>
      </c>
      <c r="P660" s="29">
        <f t="shared" si="45"/>
        <v>-2.2542362680352561E-3</v>
      </c>
    </row>
    <row r="661" spans="1:16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3"/>
        <v>-4.2372881355932967E-3</v>
      </c>
      <c r="G661" s="15" t="s">
        <v>100</v>
      </c>
      <c r="H661" s="16">
        <v>91.558441558441558</v>
      </c>
      <c r="I661" s="16">
        <v>91.428571428571431</v>
      </c>
      <c r="J661" s="29">
        <f t="shared" si="44"/>
        <v>-1.4184397163120306E-3</v>
      </c>
      <c r="M661" s="15" t="s">
        <v>100</v>
      </c>
      <c r="N661" s="16">
        <v>91.428571428571431</v>
      </c>
      <c r="O661" s="16">
        <v>91.428571428571431</v>
      </c>
      <c r="P661" s="29">
        <f t="shared" si="45"/>
        <v>0</v>
      </c>
    </row>
    <row r="662" spans="1:16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3"/>
        <v>-1.2651770227527819E-2</v>
      </c>
      <c r="G662" s="15" t="s">
        <v>10</v>
      </c>
      <c r="H662" s="16">
        <v>96.618630811728295</v>
      </c>
      <c r="I662" s="16">
        <v>94.282291077312209</v>
      </c>
      <c r="J662" s="29">
        <f t="shared" si="44"/>
        <v>-2.4181047845406679E-2</v>
      </c>
      <c r="M662" s="15" t="s">
        <v>10</v>
      </c>
      <c r="N662" s="16">
        <v>94.282291077312209</v>
      </c>
      <c r="O662" s="16">
        <v>94.045994608446762</v>
      </c>
      <c r="P662" s="29">
        <f t="shared" si="45"/>
        <v>-2.5062656641604334E-3</v>
      </c>
    </row>
    <row r="663" spans="1:16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3"/>
        <v>-0.57627118644067798</v>
      </c>
      <c r="G663" s="15" t="s">
        <v>69</v>
      </c>
      <c r="H663" s="16">
        <v>5.3533190578158454</v>
      </c>
      <c r="I663" s="16">
        <v>0</v>
      </c>
      <c r="J663" s="29">
        <f t="shared" si="44"/>
        <v>-1</v>
      </c>
      <c r="M663" s="15" t="s">
        <v>69</v>
      </c>
      <c r="N663" s="16">
        <v>0</v>
      </c>
      <c r="O663" s="16">
        <v>0</v>
      </c>
      <c r="P663" s="29" t="e">
        <f t="shared" si="45"/>
        <v>#DIV/0!</v>
      </c>
    </row>
    <row r="664" spans="1:16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3"/>
        <v>-1.252186723137837E-2</v>
      </c>
      <c r="G664" s="15" t="s">
        <v>47</v>
      </c>
      <c r="H664" s="16">
        <v>75.231481481481481</v>
      </c>
      <c r="I664" s="16">
        <v>74.214365881032549</v>
      </c>
      <c r="J664" s="29">
        <f t="shared" si="44"/>
        <v>-1.3519813519813495E-2</v>
      </c>
      <c r="M664" s="15" t="s">
        <v>47</v>
      </c>
      <c r="N664" s="16">
        <v>74.214365881032549</v>
      </c>
      <c r="O664" s="16">
        <v>73.197250280583617</v>
      </c>
      <c r="P664" s="29">
        <f t="shared" si="45"/>
        <v>-1.3705103969754228E-2</v>
      </c>
    </row>
    <row r="665" spans="1:16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3"/>
        <v>-3.466411666268199E-3</v>
      </c>
      <c r="G665" s="15" t="s">
        <v>33</v>
      </c>
      <c r="H665" s="16">
        <v>97.634383417261972</v>
      </c>
      <c r="I665" s="16">
        <v>97.353320060897062</v>
      </c>
      <c r="J665" s="29">
        <f t="shared" si="44"/>
        <v>-2.8787333573227435E-3</v>
      </c>
      <c r="M665" s="15" t="s">
        <v>33</v>
      </c>
      <c r="N665" s="16">
        <v>97.353320060897062</v>
      </c>
      <c r="O665" s="16">
        <v>96.955146972713436</v>
      </c>
      <c r="P665" s="29">
        <f t="shared" si="45"/>
        <v>-4.0899795501022247E-3</v>
      </c>
    </row>
    <row r="666" spans="1:16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3"/>
        <v>-1.0101010101010897E-3</v>
      </c>
      <c r="G666" s="15" t="s">
        <v>113</v>
      </c>
      <c r="H666" s="16">
        <v>78.120063191153235</v>
      </c>
      <c r="I666" s="16">
        <v>78.2780410742496</v>
      </c>
      <c r="J666" s="29">
        <f t="shared" si="44"/>
        <v>2.0222446916076621E-3</v>
      </c>
      <c r="M666" s="15" t="s">
        <v>113</v>
      </c>
      <c r="N666" s="16">
        <v>78.2780410742496</v>
      </c>
      <c r="O666" s="16">
        <v>78.199052132701425</v>
      </c>
      <c r="P666" s="29">
        <f t="shared" si="45"/>
        <v>-1.0090817356204831E-3</v>
      </c>
    </row>
    <row r="667" spans="1:16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3"/>
        <v>-9.5406360424028142E-2</v>
      </c>
      <c r="G667" s="15" t="s">
        <v>114</v>
      </c>
      <c r="H667" s="16">
        <v>75.073313782991207</v>
      </c>
      <c r="I667" s="16">
        <v>68.914956011730212</v>
      </c>
      <c r="J667" s="29">
        <f t="shared" si="44"/>
        <v>-8.2031249999999972E-2</v>
      </c>
      <c r="M667" s="15" t="s">
        <v>114</v>
      </c>
      <c r="N667" s="16">
        <v>68.914956011730212</v>
      </c>
      <c r="O667" s="16">
        <v>78.005865102639291</v>
      </c>
      <c r="P667" s="29">
        <f t="shared" si="45"/>
        <v>0.13191489361702111</v>
      </c>
    </row>
    <row r="668" spans="1:16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  <c r="G668" s="15" t="s">
        <v>115</v>
      </c>
      <c r="H668" s="16">
        <v>72.972972972972968</v>
      </c>
      <c r="I668" s="16">
        <v>77.477477477477478</v>
      </c>
      <c r="J668" s="17">
        <f>(I668-H668)/H668</f>
        <v>6.1728395061728475E-2</v>
      </c>
      <c r="M668" s="15" t="s">
        <v>115</v>
      </c>
      <c r="N668" s="16">
        <v>77.477477477477478</v>
      </c>
      <c r="O668" s="16">
        <v>89.189189189189193</v>
      </c>
      <c r="P668" s="17">
        <f>(O668-N668)/N668</f>
        <v>0.15116279069767447</v>
      </c>
    </row>
  </sheetData>
  <conditionalFormatting sqref="B96:B183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38">
      <colorScale>
        <cfvo type="min"/>
        <cfvo type="max"/>
        <color rgb="FF63BE7B"/>
        <color rgb="FFFFEF9C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1048576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2026-07-27T08:01:42Z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datetime=2026-07-27T08:01:41.949Z</vt:lpwstr>
  </property>
</Properties>
</file>